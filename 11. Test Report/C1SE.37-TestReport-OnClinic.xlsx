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STONE1_TEAM37_DOCUMENT\11. Test Report\"/>
    </mc:Choice>
  </mc:AlternateContent>
  <xr:revisionPtr revIDLastSave="0" documentId="13_ncr:1_{E6373785-2C8A-476F-971B-615F5602E415}" xr6:coauthVersionLast="47" xr6:coauthVersionMax="47" xr10:uidLastSave="{00000000-0000-0000-0000-000000000000}"/>
  <bookViews>
    <workbookView xWindow="-108" yWindow="-108" windowWidth="23256" windowHeight="12576" xr2:uid="{E8D43E9D-A597-40F7-B3B9-95259090CC60}"/>
  </bookViews>
  <sheets>
    <sheet name="Sprint 1" sheetId="1" r:id="rId1"/>
    <sheet name="Sprint 2" sheetId="5" r:id="rId2"/>
    <sheet name="Sprint 3" sheetId="6" r:id="rId3"/>
    <sheet name="Sprint 4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7" l="1"/>
  <c r="D16" i="7"/>
  <c r="C16" i="7"/>
  <c r="J9" i="7"/>
  <c r="I9" i="7"/>
  <c r="H9" i="7"/>
  <c r="E15" i="6"/>
  <c r="D15" i="6"/>
  <c r="C15" i="6"/>
  <c r="J9" i="6"/>
  <c r="I9" i="6"/>
  <c r="H9" i="6"/>
  <c r="E17" i="5"/>
  <c r="D17" i="5"/>
  <c r="C17" i="5"/>
  <c r="J9" i="5"/>
  <c r="I9" i="5"/>
  <c r="H9" i="5"/>
  <c r="E18" i="1"/>
  <c r="D18" i="1"/>
  <c r="J9" i="1"/>
  <c r="I9" i="1"/>
  <c r="I4" i="7" l="1"/>
  <c r="I3" i="7"/>
  <c r="I4" i="6"/>
  <c r="I3" i="6"/>
  <c r="I3" i="5"/>
  <c r="I4" i="5"/>
  <c r="H9" i="1"/>
  <c r="I3" i="1" s="1"/>
  <c r="C18" i="1"/>
  <c r="I4" i="1" l="1"/>
</calcChain>
</file>

<file path=xl/sharedStrings.xml><?xml version="1.0" encoding="utf-8"?>
<sst xmlns="http://schemas.openxmlformats.org/spreadsheetml/2006/main" count="130" uniqueCount="57">
  <si>
    <t>Test Coverage</t>
  </si>
  <si>
    <t>Test successful coverage</t>
  </si>
  <si>
    <t>No</t>
  </si>
  <si>
    <t>Passed</t>
  </si>
  <si>
    <t>Failed</t>
  </si>
  <si>
    <t>Note</t>
  </si>
  <si>
    <t>Test Case Passed</t>
  </si>
  <si>
    <t>Test Case Failed</t>
  </si>
  <si>
    <t>Total</t>
  </si>
  <si>
    <t>Notification</t>
  </si>
  <si>
    <t>Creator:</t>
  </si>
  <si>
    <t>Huy</t>
  </si>
  <si>
    <t>All member</t>
  </si>
  <si>
    <t>OnClinic</t>
  </si>
  <si>
    <t>Function</t>
  </si>
  <si>
    <t>Module</t>
  </si>
  <si>
    <t>Create Clinic</t>
  </si>
  <si>
    <t>Create examination slot</t>
  </si>
  <si>
    <t>View created medical examination slot</t>
  </si>
  <si>
    <t>Edit a examination slot</t>
  </si>
  <si>
    <t>Clinic profile (for Doctor)</t>
  </si>
  <si>
    <t>Edit clinic profile information</t>
  </si>
  <si>
    <t>Become a partner</t>
  </si>
  <si>
    <t>Booking</t>
  </si>
  <si>
    <t>Online Clinic Booking System</t>
  </si>
  <si>
    <t>Project Name:</t>
  </si>
  <si>
    <t>Project Code:</t>
  </si>
  <si>
    <t>Reviewer/Approver:</t>
  </si>
  <si>
    <t>TEST REPORT FOR SPRINT 1</t>
  </si>
  <si>
    <t>%</t>
  </si>
  <si>
    <t>Version:</t>
  </si>
  <si>
    <t>1.0</t>
  </si>
  <si>
    <t>TEST REPORT FOR SPRINT 2</t>
  </si>
  <si>
    <t>Upcoming examination (for Doctor)</t>
  </si>
  <si>
    <t>Upcoming examination (for Patient)</t>
  </si>
  <si>
    <t>Online examination (for Doctor)</t>
  </si>
  <si>
    <t>Online examination (for Patient)</t>
  </si>
  <si>
    <t>Examination history (for Doctor)</t>
  </si>
  <si>
    <t>Examination history (for Patient)</t>
  </si>
  <si>
    <t>Create prescriptions</t>
  </si>
  <si>
    <t xml:space="preserve">View prescription </t>
  </si>
  <si>
    <t>TEST REPORT FOR SPRINT 3</t>
  </si>
  <si>
    <t>Personal profile</t>
  </si>
  <si>
    <t>Change personal information</t>
  </si>
  <si>
    <t>Contact us</t>
  </si>
  <si>
    <t>Feedback for a clinic</t>
  </si>
  <si>
    <t xml:space="preserve">View Clinic Feedback </t>
  </si>
  <si>
    <t>TEST REPORT FOR SPRINT 4</t>
  </si>
  <si>
    <t>Resgistration</t>
  </si>
  <si>
    <t>Login</t>
  </si>
  <si>
    <t xml:space="preserve">Forgot password </t>
  </si>
  <si>
    <t>Logout</t>
  </si>
  <si>
    <t>Change password</t>
  </si>
  <si>
    <t>Heartbeat Measure</t>
  </si>
  <si>
    <t>Online Payment</t>
  </si>
  <si>
    <t>Test Case Module</t>
  </si>
  <si>
    <t>Disease prediction and clinic suggestions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</si>
</sst>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sz val="13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/>
    <xf numFmtId="0" fontId="1" fillId="7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right"/>
    </xf>
    <xf numFmtId="0" fontId="2" fillId="3" borderId="8" xfId="0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horizontal="right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3" xfId="0" applyFont="1" applyFill="1" applyBorder="1" applyAlignment="1"/>
    <xf numFmtId="0" fontId="3" fillId="3" borderId="4" xfId="0" applyFont="1" applyFill="1" applyBorder="1" applyAlignment="1"/>
    <xf numFmtId="2" fontId="3" fillId="3" borderId="2" xfId="0" applyNumberFormat="1" applyFont="1" applyFill="1" applyBorder="1" applyAlignment="1"/>
    <xf numFmtId="2" fontId="3" fillId="3" borderId="9" xfId="0" applyNumberFormat="1" applyFont="1" applyFill="1" applyBorder="1" applyAlignment="1"/>
    <xf numFmtId="2" fontId="3" fillId="3" borderId="2" xfId="0" applyNumberFormat="1" applyFont="1" applyFill="1" applyBorder="1" applyAlignment="1">
      <alignment vertical="center" wrapText="1"/>
    </xf>
    <xf numFmtId="2" fontId="3" fillId="3" borderId="9" xfId="0" applyNumberFormat="1" applyFont="1" applyFill="1" applyBorder="1" applyAlignment="1">
      <alignment vertical="center" wrapText="1"/>
    </xf>
    <xf numFmtId="0" fontId="2" fillId="3" borderId="3" xfId="0" applyFont="1" applyFill="1" applyBorder="1" applyAlignment="1"/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Test</a:t>
            </a:r>
            <a:r>
              <a:rPr lang="en-US" b="1" baseline="0"/>
              <a:t> Case Pass &amp; Failed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A4-43DD-8D4D-AA6BF7CA732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A4-43DD-8D4D-AA6BF7CA73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'Sprint 1'!$I$8:$J$8</c:f>
              <c:strCache>
                <c:ptCount val="2"/>
                <c:pt idx="0">
                  <c:v>Test Case Passed</c:v>
                </c:pt>
                <c:pt idx="1">
                  <c:v>Test Case Failed</c:v>
                </c:pt>
              </c:strCache>
            </c:strRef>
          </c:cat>
          <c:val>
            <c:numRef>
              <c:f>'Sprint 1'!$I$9:$J$9</c:f>
              <c:numCache>
                <c:formatCode>General</c:formatCode>
                <c:ptCount val="2"/>
                <c:pt idx="0">
                  <c:v>15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A-458F-BDC2-4816E0D14E4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246641638149664"/>
          <c:y val="0.32325019080789352"/>
          <c:w val="0.29065594648770171"/>
          <c:h val="0.403414768992490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Test</a:t>
            </a:r>
            <a:r>
              <a:rPr lang="en-US" b="1" baseline="0"/>
              <a:t> Case Pass &amp; Failed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57-4DC0-B932-A4861352DB1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57-4DC0-B932-A4861352DB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Times New Roman" panose="02020603050405020304" pitchFamily="18" charset="0"/>
                  </a:defRPr>
                </a:pPr>
                <a:endParaRPr lang="vi-V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'Sprint 2'!$I$8:$J$8</c:f>
              <c:strCache>
                <c:ptCount val="2"/>
                <c:pt idx="0">
                  <c:v>Test Case Passed</c:v>
                </c:pt>
                <c:pt idx="1">
                  <c:v>Test Case Failed</c:v>
                </c:pt>
              </c:strCache>
            </c:strRef>
          </c:cat>
          <c:val>
            <c:numRef>
              <c:f>'Sprint 2'!$I$9:$J$9</c:f>
              <c:numCache>
                <c:formatCode>General</c:formatCode>
                <c:ptCount val="2"/>
                <c:pt idx="0">
                  <c:v>15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57-4DC0-B932-A4861352DB1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427240219133679"/>
          <c:y val="0.3343637870249957"/>
          <c:w val="0.28894907431873029"/>
          <c:h val="0.362911889846523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Test</a:t>
            </a:r>
            <a:r>
              <a:rPr lang="en-US" b="1" baseline="0"/>
              <a:t> Case Pass &amp; Failed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64-4668-94DB-CAEBB2E8456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64-4668-94DB-CAEBB2E845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'Sprint 3'!$I$8:$J$8</c:f>
              <c:strCache>
                <c:ptCount val="2"/>
                <c:pt idx="0">
                  <c:v>Test Case Passed</c:v>
                </c:pt>
                <c:pt idx="1">
                  <c:v>Test Case Failed</c:v>
                </c:pt>
              </c:strCache>
            </c:strRef>
          </c:cat>
          <c:val>
            <c:numRef>
              <c:f>'Sprint 3'!$I$9:$J$9</c:f>
              <c:numCache>
                <c:formatCode>General</c:formatCode>
                <c:ptCount val="2"/>
                <c:pt idx="0">
                  <c:v>10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64-4668-94DB-CAEBB2E8456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142481237262787"/>
          <c:y val="0.3025473435673815"/>
          <c:w val="0.29164038661128411"/>
          <c:h val="0.39546684758925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Test</a:t>
            </a:r>
            <a:r>
              <a:rPr lang="en-US" b="1" baseline="0"/>
              <a:t> Case Pass &amp; Failed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80-42C4-9C68-0C8C22E2D5C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80-42C4-9C68-0C8C22E2D5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'Sprint 4'!$I$8:$J$8</c:f>
              <c:strCache>
                <c:ptCount val="2"/>
                <c:pt idx="0">
                  <c:v>Test Case Passed</c:v>
                </c:pt>
                <c:pt idx="1">
                  <c:v>Test Case Failed</c:v>
                </c:pt>
              </c:strCache>
            </c:strRef>
          </c:cat>
          <c:val>
            <c:numRef>
              <c:f>'Sprint 4'!$I$9:$J$9</c:f>
              <c:numCache>
                <c:formatCode>General</c:formatCode>
                <c:ptCount val="2"/>
                <c:pt idx="0">
                  <c:v>22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80-42C4-9C68-0C8C22E2D5C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401570395640089"/>
          <c:y val="0.35763491008304404"/>
          <c:w val="0.28919168479254953"/>
          <c:h val="0.398450095111849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9</xdr:row>
      <xdr:rowOff>90487</xdr:rowOff>
    </xdr:from>
    <xdr:to>
      <xdr:col>10</xdr:col>
      <xdr:colOff>7620</xdr:colOff>
      <xdr:row>19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E0B2BF-D48A-4521-821D-92F327ACD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9</xdr:row>
      <xdr:rowOff>90487</xdr:rowOff>
    </xdr:from>
    <xdr:to>
      <xdr:col>10</xdr:col>
      <xdr:colOff>30480</xdr:colOff>
      <xdr:row>19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8865A64-DF43-4C87-8D58-E35F6C271B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9</xdr:row>
      <xdr:rowOff>90487</xdr:rowOff>
    </xdr:from>
    <xdr:to>
      <xdr:col>9</xdr:col>
      <xdr:colOff>1318260</xdr:colOff>
      <xdr:row>18</xdr:row>
      <xdr:rowOff>205740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58C1BDE3-36A1-4B91-BDB0-24736AA4C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9</xdr:row>
      <xdr:rowOff>90487</xdr:rowOff>
    </xdr:from>
    <xdr:to>
      <xdr:col>10</xdr:col>
      <xdr:colOff>30480</xdr:colOff>
      <xdr:row>18</xdr:row>
      <xdr:rowOff>190500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D69219F-6FDC-48F4-B43C-58307AE19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B8C9-B992-42EA-98E0-3E80FE75985A}">
  <sheetPr>
    <pageSetUpPr fitToPage="1"/>
  </sheetPr>
  <dimension ref="A1:J18"/>
  <sheetViews>
    <sheetView tabSelected="1" workbookViewId="0">
      <selection activeCell="E17" sqref="E17"/>
    </sheetView>
  </sheetViews>
  <sheetFormatPr defaultColWidth="9.09765625" defaultRowHeight="16.8" x14ac:dyDescent="0.3"/>
  <cols>
    <col min="1" max="1" width="5.3984375" style="1" customWidth="1"/>
    <col min="2" max="2" width="36.59765625" style="1" customWidth="1"/>
    <col min="3" max="3" width="10.3984375" style="1" bestFit="1" customWidth="1"/>
    <col min="4" max="5" width="9.09765625" style="1"/>
    <col min="6" max="6" width="26.19921875" style="1" customWidth="1"/>
    <col min="7" max="7" width="8.3984375" style="1" customWidth="1"/>
    <col min="8" max="8" width="22.296875" style="1" customWidth="1"/>
    <col min="9" max="9" width="19.69921875" style="1" customWidth="1"/>
    <col min="10" max="10" width="17.3984375" style="1" bestFit="1" customWidth="1"/>
    <col min="11" max="16384" width="9.09765625" style="1"/>
  </cols>
  <sheetData>
    <row r="1" spans="1:10" ht="17.399999999999999" thickBot="1" x14ac:dyDescent="0.35">
      <c r="A1" s="3"/>
    </row>
    <row r="2" spans="1:10" x14ac:dyDescent="0.3">
      <c r="B2" s="22" t="s">
        <v>28</v>
      </c>
      <c r="C2" s="23"/>
      <c r="D2" s="23"/>
      <c r="E2" s="23"/>
      <c r="F2" s="23"/>
      <c r="G2" s="23"/>
      <c r="H2" s="23"/>
      <c r="I2" s="23"/>
      <c r="J2" s="24"/>
    </row>
    <row r="3" spans="1:10" ht="16.8" customHeight="1" x14ac:dyDescent="0.3">
      <c r="B3" s="10" t="s">
        <v>25</v>
      </c>
      <c r="C3" s="31" t="s">
        <v>24</v>
      </c>
      <c r="D3" s="31"/>
      <c r="E3" s="31"/>
      <c r="F3" s="32"/>
      <c r="G3" s="33" t="s">
        <v>0</v>
      </c>
      <c r="H3" s="34"/>
      <c r="I3" s="17">
        <f>(I9+J9)*100/H9</f>
        <v>100</v>
      </c>
      <c r="J3" s="18" t="s">
        <v>29</v>
      </c>
    </row>
    <row r="4" spans="1:10" s="4" customFormat="1" ht="16.8" customHeight="1" x14ac:dyDescent="0.3">
      <c r="A4" s="1"/>
      <c r="B4" s="11" t="s">
        <v>26</v>
      </c>
      <c r="C4" s="13" t="s">
        <v>13</v>
      </c>
      <c r="D4" s="13"/>
      <c r="E4" s="13"/>
      <c r="F4" s="14"/>
      <c r="G4" s="35" t="s">
        <v>1</v>
      </c>
      <c r="H4" s="36"/>
      <c r="I4" s="19">
        <f>I9*100/H9</f>
        <v>83.333333333333329</v>
      </c>
      <c r="J4" s="20" t="s">
        <v>29</v>
      </c>
    </row>
    <row r="5" spans="1:10" x14ac:dyDescent="0.3">
      <c r="B5" s="10" t="s">
        <v>10</v>
      </c>
      <c r="C5" s="15" t="s">
        <v>11</v>
      </c>
      <c r="D5" s="15"/>
      <c r="E5" s="21" t="s">
        <v>30</v>
      </c>
      <c r="F5" s="16" t="s">
        <v>31</v>
      </c>
      <c r="G5" s="37"/>
      <c r="H5" s="38"/>
      <c r="I5" s="38"/>
      <c r="J5" s="39"/>
    </row>
    <row r="6" spans="1:10" ht="17.399999999999999" thickBot="1" x14ac:dyDescent="0.35">
      <c r="B6" s="12" t="s">
        <v>27</v>
      </c>
      <c r="C6" s="26" t="s">
        <v>12</v>
      </c>
      <c r="D6" s="26"/>
      <c r="E6" s="26"/>
      <c r="F6" s="27"/>
      <c r="G6" s="28"/>
      <c r="H6" s="29"/>
      <c r="I6" s="29"/>
      <c r="J6" s="30"/>
    </row>
    <row r="8" spans="1:10" s="3" customFormat="1" x14ac:dyDescent="0.25">
      <c r="A8" s="7" t="s">
        <v>2</v>
      </c>
      <c r="B8" s="7" t="s">
        <v>14</v>
      </c>
      <c r="C8" s="7" t="s">
        <v>15</v>
      </c>
      <c r="D8" s="7" t="s">
        <v>3</v>
      </c>
      <c r="E8" s="7" t="s">
        <v>4</v>
      </c>
      <c r="F8" s="7" t="s">
        <v>5</v>
      </c>
      <c r="H8" s="9" t="s">
        <v>55</v>
      </c>
      <c r="I8" s="9" t="s">
        <v>6</v>
      </c>
      <c r="J8" s="9" t="s">
        <v>7</v>
      </c>
    </row>
    <row r="9" spans="1:10" x14ac:dyDescent="0.3">
      <c r="A9" s="2">
        <v>1</v>
      </c>
      <c r="B9" s="2" t="s">
        <v>16</v>
      </c>
      <c r="C9" s="2">
        <v>3</v>
      </c>
      <c r="D9" s="2">
        <v>3</v>
      </c>
      <c r="E9" s="2">
        <v>0</v>
      </c>
      <c r="F9" s="2"/>
      <c r="H9" s="2">
        <f>SUM(C9:C17)</f>
        <v>18</v>
      </c>
      <c r="I9" s="2">
        <f>SUM(D9:D17)</f>
        <v>15</v>
      </c>
      <c r="J9" s="2">
        <f>SUM(E9:E17)</f>
        <v>3</v>
      </c>
    </row>
    <row r="10" spans="1:10" x14ac:dyDescent="0.3">
      <c r="A10" s="2">
        <v>2</v>
      </c>
      <c r="B10" s="6" t="s">
        <v>17</v>
      </c>
      <c r="C10" s="2">
        <v>2</v>
      </c>
      <c r="D10" s="2">
        <v>2</v>
      </c>
      <c r="E10" s="2">
        <v>0</v>
      </c>
      <c r="F10" s="2"/>
    </row>
    <row r="11" spans="1:10" x14ac:dyDescent="0.3">
      <c r="A11" s="2">
        <v>3</v>
      </c>
      <c r="B11" s="5" t="s">
        <v>18</v>
      </c>
      <c r="C11" s="2">
        <v>1</v>
      </c>
      <c r="D11" s="2">
        <v>1</v>
      </c>
      <c r="E11" s="2">
        <v>0</v>
      </c>
      <c r="F11" s="2"/>
    </row>
    <row r="12" spans="1:10" x14ac:dyDescent="0.3">
      <c r="A12" s="2">
        <v>4</v>
      </c>
      <c r="B12" s="5" t="s">
        <v>19</v>
      </c>
      <c r="C12" s="2">
        <v>3</v>
      </c>
      <c r="D12" s="2">
        <v>3</v>
      </c>
      <c r="E12" s="2">
        <v>0</v>
      </c>
      <c r="F12" s="2"/>
    </row>
    <row r="13" spans="1:10" x14ac:dyDescent="0.3">
      <c r="A13" s="2">
        <v>5</v>
      </c>
      <c r="B13" s="2" t="s">
        <v>20</v>
      </c>
      <c r="C13" s="2">
        <v>1</v>
      </c>
      <c r="D13" s="2">
        <v>1</v>
      </c>
      <c r="E13" s="2">
        <v>0</v>
      </c>
      <c r="F13" s="2"/>
    </row>
    <row r="14" spans="1:10" x14ac:dyDescent="0.3">
      <c r="A14" s="2">
        <v>6</v>
      </c>
      <c r="B14" s="5" t="s">
        <v>21</v>
      </c>
      <c r="C14" s="2">
        <v>2</v>
      </c>
      <c r="D14" s="2">
        <v>2</v>
      </c>
      <c r="E14" s="2">
        <v>0</v>
      </c>
      <c r="F14" s="2"/>
    </row>
    <row r="15" spans="1:10" x14ac:dyDescent="0.3">
      <c r="A15" s="2">
        <v>7</v>
      </c>
      <c r="B15" s="2" t="s">
        <v>56</v>
      </c>
      <c r="C15" s="2">
        <v>3</v>
      </c>
      <c r="D15" s="2">
        <v>0</v>
      </c>
      <c r="E15" s="2">
        <v>3</v>
      </c>
      <c r="F15" s="2"/>
    </row>
    <row r="16" spans="1:10" x14ac:dyDescent="0.3">
      <c r="A16" s="2">
        <v>8</v>
      </c>
      <c r="B16" s="2" t="s">
        <v>23</v>
      </c>
      <c r="C16" s="2">
        <v>2</v>
      </c>
      <c r="D16" s="2">
        <v>2</v>
      </c>
      <c r="E16" s="2">
        <v>0</v>
      </c>
      <c r="F16" s="2"/>
    </row>
    <row r="17" spans="1:6" x14ac:dyDescent="0.3">
      <c r="A17" s="2">
        <v>9</v>
      </c>
      <c r="B17" s="2" t="s">
        <v>22</v>
      </c>
      <c r="C17" s="2">
        <v>1</v>
      </c>
      <c r="D17" s="2">
        <v>1</v>
      </c>
      <c r="E17" s="2">
        <v>0</v>
      </c>
      <c r="F17" s="2"/>
    </row>
    <row r="18" spans="1:6" x14ac:dyDescent="0.3">
      <c r="A18" s="25" t="s">
        <v>8</v>
      </c>
      <c r="B18" s="25"/>
      <c r="C18" s="8">
        <f>SUM(C9:C17)</f>
        <v>18</v>
      </c>
      <c r="D18" s="8">
        <f>SUM(D9:D17)</f>
        <v>15</v>
      </c>
      <c r="E18" s="8">
        <f>SUM(E9:E17)</f>
        <v>3</v>
      </c>
      <c r="F18" s="8"/>
    </row>
  </sheetData>
  <mergeCells count="8">
    <mergeCell ref="B2:J2"/>
    <mergeCell ref="A18:B18"/>
    <mergeCell ref="C6:F6"/>
    <mergeCell ref="G6:J6"/>
    <mergeCell ref="C3:F3"/>
    <mergeCell ref="G3:H3"/>
    <mergeCell ref="G4:H4"/>
    <mergeCell ref="G5:J5"/>
  </mergeCells>
  <pageMargins left="0.7" right="0.7" top="0.75" bottom="0.75" header="0.3" footer="0.3"/>
  <pageSetup scale="64" orientation="landscape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835CA-C4F0-4110-A61E-A18F0D59AAFD}">
  <sheetPr>
    <pageSetUpPr fitToPage="1"/>
  </sheetPr>
  <dimension ref="A1:J17"/>
  <sheetViews>
    <sheetView workbookViewId="0">
      <selection activeCell="F20" sqref="F20"/>
    </sheetView>
  </sheetViews>
  <sheetFormatPr defaultColWidth="9.09765625" defaultRowHeight="16.8" x14ac:dyDescent="0.3"/>
  <cols>
    <col min="1" max="1" width="5.3984375" style="1" customWidth="1"/>
    <col min="2" max="2" width="36.59765625" style="1" customWidth="1"/>
    <col min="3" max="3" width="10.3984375" style="1" bestFit="1" customWidth="1"/>
    <col min="4" max="5" width="9.09765625" style="1"/>
    <col min="6" max="6" width="26.19921875" style="1" customWidth="1"/>
    <col min="7" max="7" width="8.3984375" style="1" customWidth="1"/>
    <col min="8" max="8" width="22.296875" style="1" customWidth="1"/>
    <col min="9" max="9" width="19.69921875" style="1" customWidth="1"/>
    <col min="10" max="10" width="17.3984375" style="1" bestFit="1" customWidth="1"/>
    <col min="11" max="16384" width="9.09765625" style="1"/>
  </cols>
  <sheetData>
    <row r="1" spans="1:10" ht="17.399999999999999" thickBot="1" x14ac:dyDescent="0.35">
      <c r="A1" s="3"/>
    </row>
    <row r="2" spans="1:10" x14ac:dyDescent="0.3">
      <c r="B2" s="22" t="s">
        <v>32</v>
      </c>
      <c r="C2" s="23"/>
      <c r="D2" s="23"/>
      <c r="E2" s="23"/>
      <c r="F2" s="23"/>
      <c r="G2" s="23"/>
      <c r="H2" s="23"/>
      <c r="I2" s="23"/>
      <c r="J2" s="24"/>
    </row>
    <row r="3" spans="1:10" ht="16.8" customHeight="1" x14ac:dyDescent="0.3">
      <c r="B3" s="10" t="s">
        <v>25</v>
      </c>
      <c r="C3" s="31" t="s">
        <v>24</v>
      </c>
      <c r="D3" s="31"/>
      <c r="E3" s="31"/>
      <c r="F3" s="32"/>
      <c r="G3" s="33" t="s">
        <v>0</v>
      </c>
      <c r="H3" s="34"/>
      <c r="I3" s="17">
        <f>(I9+J9)*100/H9</f>
        <v>100</v>
      </c>
      <c r="J3" s="18" t="s">
        <v>29</v>
      </c>
    </row>
    <row r="4" spans="1:10" s="4" customFormat="1" ht="16.8" customHeight="1" x14ac:dyDescent="0.3">
      <c r="A4" s="1"/>
      <c r="B4" s="11" t="s">
        <v>26</v>
      </c>
      <c r="C4" s="13" t="s">
        <v>13</v>
      </c>
      <c r="D4" s="13"/>
      <c r="E4" s="13"/>
      <c r="F4" s="14"/>
      <c r="G4" s="35" t="s">
        <v>1</v>
      </c>
      <c r="H4" s="36"/>
      <c r="I4" s="19">
        <f>I9*100/H9</f>
        <v>100</v>
      </c>
      <c r="J4" s="20" t="s">
        <v>29</v>
      </c>
    </row>
    <row r="5" spans="1:10" x14ac:dyDescent="0.3">
      <c r="B5" s="10" t="s">
        <v>10</v>
      </c>
      <c r="C5" s="15" t="s">
        <v>11</v>
      </c>
      <c r="D5" s="15"/>
      <c r="E5" s="21" t="s">
        <v>30</v>
      </c>
      <c r="F5" s="16" t="s">
        <v>31</v>
      </c>
      <c r="G5" s="37"/>
      <c r="H5" s="38"/>
      <c r="I5" s="38"/>
      <c r="J5" s="39"/>
    </row>
    <row r="6" spans="1:10" ht="17.399999999999999" thickBot="1" x14ac:dyDescent="0.35">
      <c r="B6" s="12" t="s">
        <v>27</v>
      </c>
      <c r="C6" s="26" t="s">
        <v>12</v>
      </c>
      <c r="D6" s="26"/>
      <c r="E6" s="26"/>
      <c r="F6" s="27"/>
      <c r="G6" s="28"/>
      <c r="H6" s="29"/>
      <c r="I6" s="29"/>
      <c r="J6" s="30"/>
    </row>
    <row r="8" spans="1:10" s="3" customFormat="1" x14ac:dyDescent="0.25">
      <c r="A8" s="7" t="s">
        <v>2</v>
      </c>
      <c r="B8" s="7" t="s">
        <v>14</v>
      </c>
      <c r="C8" s="7" t="s">
        <v>15</v>
      </c>
      <c r="D8" s="7" t="s">
        <v>3</v>
      </c>
      <c r="E8" s="7" t="s">
        <v>4</v>
      </c>
      <c r="F8" s="7" t="s">
        <v>5</v>
      </c>
      <c r="H8" s="9" t="s">
        <v>55</v>
      </c>
      <c r="I8" s="9" t="s">
        <v>6</v>
      </c>
      <c r="J8" s="9" t="s">
        <v>7</v>
      </c>
    </row>
    <row r="9" spans="1:10" x14ac:dyDescent="0.3">
      <c r="A9" s="2">
        <v>1</v>
      </c>
      <c r="B9" s="2" t="s">
        <v>33</v>
      </c>
      <c r="C9" s="2">
        <v>1</v>
      </c>
      <c r="D9" s="2">
        <v>1</v>
      </c>
      <c r="E9" s="2">
        <v>0</v>
      </c>
      <c r="F9" s="2"/>
      <c r="H9" s="2">
        <f>SUM(C9:C16)</f>
        <v>15</v>
      </c>
      <c r="I9" s="2">
        <f>SUM(D9:D16)</f>
        <v>15</v>
      </c>
      <c r="J9" s="2">
        <f>SUM(E9:E16)</f>
        <v>0</v>
      </c>
    </row>
    <row r="10" spans="1:10" x14ac:dyDescent="0.3">
      <c r="A10" s="2">
        <v>2</v>
      </c>
      <c r="B10" s="6" t="s">
        <v>34</v>
      </c>
      <c r="C10" s="2">
        <v>1</v>
      </c>
      <c r="D10" s="2">
        <v>1</v>
      </c>
      <c r="E10" s="2">
        <v>0</v>
      </c>
      <c r="F10" s="2"/>
    </row>
    <row r="11" spans="1:10" x14ac:dyDescent="0.3">
      <c r="A11" s="2">
        <v>3</v>
      </c>
      <c r="B11" s="5" t="s">
        <v>35</v>
      </c>
      <c r="C11" s="2">
        <v>3</v>
      </c>
      <c r="D11" s="2">
        <v>3</v>
      </c>
      <c r="E11" s="2">
        <v>0</v>
      </c>
      <c r="F11" s="2"/>
    </row>
    <row r="12" spans="1:10" x14ac:dyDescent="0.3">
      <c r="A12" s="2">
        <v>4</v>
      </c>
      <c r="B12" s="5" t="s">
        <v>36</v>
      </c>
      <c r="C12" s="2">
        <v>3</v>
      </c>
      <c r="D12" s="2">
        <v>3</v>
      </c>
      <c r="E12" s="2">
        <v>0</v>
      </c>
      <c r="F12" s="2"/>
    </row>
    <row r="13" spans="1:10" x14ac:dyDescent="0.3">
      <c r="A13" s="2">
        <v>5</v>
      </c>
      <c r="B13" s="2" t="s">
        <v>37</v>
      </c>
      <c r="C13" s="2">
        <v>1</v>
      </c>
      <c r="D13" s="2">
        <v>1</v>
      </c>
      <c r="E13" s="2">
        <v>0</v>
      </c>
      <c r="F13" s="2"/>
    </row>
    <row r="14" spans="1:10" x14ac:dyDescent="0.3">
      <c r="A14" s="2">
        <v>6</v>
      </c>
      <c r="B14" s="5" t="s">
        <v>38</v>
      </c>
      <c r="C14" s="2">
        <v>1</v>
      </c>
      <c r="D14" s="2">
        <v>1</v>
      </c>
      <c r="E14" s="2">
        <v>0</v>
      </c>
      <c r="F14" s="2"/>
    </row>
    <row r="15" spans="1:10" x14ac:dyDescent="0.3">
      <c r="A15" s="2">
        <v>7</v>
      </c>
      <c r="B15" s="2" t="s">
        <v>39</v>
      </c>
      <c r="C15" s="2">
        <v>4</v>
      </c>
      <c r="D15" s="2">
        <v>4</v>
      </c>
      <c r="E15" s="2">
        <v>0</v>
      </c>
      <c r="F15" s="2"/>
    </row>
    <row r="16" spans="1:10" x14ac:dyDescent="0.3">
      <c r="A16" s="2">
        <v>8</v>
      </c>
      <c r="B16" s="2" t="s">
        <v>40</v>
      </c>
      <c r="C16" s="2">
        <v>1</v>
      </c>
      <c r="D16" s="2">
        <v>1</v>
      </c>
      <c r="E16" s="2">
        <v>0</v>
      </c>
      <c r="F16" s="2"/>
    </row>
    <row r="17" spans="1:6" x14ac:dyDescent="0.3">
      <c r="A17" s="25" t="s">
        <v>8</v>
      </c>
      <c r="B17" s="25"/>
      <c r="C17" s="8">
        <f>SUM(C9:C16)</f>
        <v>15</v>
      </c>
      <c r="D17" s="8">
        <f>SUM(D9:D16)</f>
        <v>15</v>
      </c>
      <c r="E17" s="8">
        <f>SUM(E9:E16)</f>
        <v>0</v>
      </c>
      <c r="F17" s="8"/>
    </row>
  </sheetData>
  <mergeCells count="8">
    <mergeCell ref="A17:B17"/>
    <mergeCell ref="B2:J2"/>
    <mergeCell ref="C3:F3"/>
    <mergeCell ref="G3:H3"/>
    <mergeCell ref="G4:H4"/>
    <mergeCell ref="G5:J5"/>
    <mergeCell ref="C6:F6"/>
    <mergeCell ref="G6:J6"/>
  </mergeCells>
  <pageMargins left="0.7" right="0.7" top="0.75" bottom="0.75" header="0.3" footer="0.3"/>
  <pageSetup scale="6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CCC2-C331-4C97-B222-DCA536D9571E}">
  <sheetPr>
    <pageSetUpPr fitToPage="1"/>
  </sheetPr>
  <dimension ref="A1:J15"/>
  <sheetViews>
    <sheetView workbookViewId="0">
      <selection activeCell="B25" sqref="B25"/>
    </sheetView>
  </sheetViews>
  <sheetFormatPr defaultColWidth="9.09765625" defaultRowHeight="16.8" x14ac:dyDescent="0.3"/>
  <cols>
    <col min="1" max="1" width="5.3984375" style="1" customWidth="1"/>
    <col min="2" max="2" width="36.59765625" style="1" customWidth="1"/>
    <col min="3" max="3" width="10.3984375" style="1" bestFit="1" customWidth="1"/>
    <col min="4" max="5" width="9.09765625" style="1"/>
    <col min="6" max="6" width="26.19921875" style="1" customWidth="1"/>
    <col min="7" max="7" width="8.3984375" style="1" customWidth="1"/>
    <col min="8" max="8" width="22.296875" style="1" customWidth="1"/>
    <col min="9" max="9" width="19.69921875" style="1" customWidth="1"/>
    <col min="10" max="10" width="17.3984375" style="1" bestFit="1" customWidth="1"/>
    <col min="11" max="16384" width="9.09765625" style="1"/>
  </cols>
  <sheetData>
    <row r="1" spans="1:10" ht="17.399999999999999" thickBot="1" x14ac:dyDescent="0.35">
      <c r="A1" s="3"/>
    </row>
    <row r="2" spans="1:10" x14ac:dyDescent="0.3">
      <c r="B2" s="22" t="s">
        <v>41</v>
      </c>
      <c r="C2" s="23"/>
      <c r="D2" s="23"/>
      <c r="E2" s="23"/>
      <c r="F2" s="23"/>
      <c r="G2" s="23"/>
      <c r="H2" s="23"/>
      <c r="I2" s="23"/>
      <c r="J2" s="24"/>
    </row>
    <row r="3" spans="1:10" ht="16.8" customHeight="1" x14ac:dyDescent="0.3">
      <c r="B3" s="10" t="s">
        <v>25</v>
      </c>
      <c r="C3" s="31" t="s">
        <v>24</v>
      </c>
      <c r="D3" s="31"/>
      <c r="E3" s="31"/>
      <c r="F3" s="32"/>
      <c r="G3" s="33" t="s">
        <v>0</v>
      </c>
      <c r="H3" s="34"/>
      <c r="I3" s="17">
        <f>(I9+J9)*100/H9</f>
        <v>100</v>
      </c>
      <c r="J3" s="18" t="s">
        <v>29</v>
      </c>
    </row>
    <row r="4" spans="1:10" s="4" customFormat="1" ht="16.8" customHeight="1" x14ac:dyDescent="0.3">
      <c r="A4" s="1"/>
      <c r="B4" s="11" t="s">
        <v>26</v>
      </c>
      <c r="C4" s="13" t="s">
        <v>13</v>
      </c>
      <c r="D4" s="13"/>
      <c r="E4" s="13"/>
      <c r="F4" s="14"/>
      <c r="G4" s="35" t="s">
        <v>1</v>
      </c>
      <c r="H4" s="36"/>
      <c r="I4" s="19">
        <f>I9*100/H9</f>
        <v>83.333333333333329</v>
      </c>
      <c r="J4" s="20" t="s">
        <v>29</v>
      </c>
    </row>
    <row r="5" spans="1:10" x14ac:dyDescent="0.3">
      <c r="B5" s="10" t="s">
        <v>10</v>
      </c>
      <c r="C5" s="15" t="s">
        <v>11</v>
      </c>
      <c r="D5" s="15"/>
      <c r="E5" s="21" t="s">
        <v>30</v>
      </c>
      <c r="F5" s="16" t="s">
        <v>31</v>
      </c>
      <c r="G5" s="37"/>
      <c r="H5" s="38"/>
      <c r="I5" s="38"/>
      <c r="J5" s="39"/>
    </row>
    <row r="6" spans="1:10" ht="17.399999999999999" thickBot="1" x14ac:dyDescent="0.35">
      <c r="B6" s="12" t="s">
        <v>27</v>
      </c>
      <c r="C6" s="26" t="s">
        <v>12</v>
      </c>
      <c r="D6" s="26"/>
      <c r="E6" s="26"/>
      <c r="F6" s="27"/>
      <c r="G6" s="28"/>
      <c r="H6" s="29"/>
      <c r="I6" s="29"/>
      <c r="J6" s="30"/>
    </row>
    <row r="8" spans="1:10" s="3" customFormat="1" x14ac:dyDescent="0.25">
      <c r="A8" s="7" t="s">
        <v>2</v>
      </c>
      <c r="B8" s="7" t="s">
        <v>14</v>
      </c>
      <c r="C8" s="7" t="s">
        <v>15</v>
      </c>
      <c r="D8" s="7" t="s">
        <v>3</v>
      </c>
      <c r="E8" s="7" t="s">
        <v>4</v>
      </c>
      <c r="F8" s="7" t="s">
        <v>5</v>
      </c>
      <c r="H8" s="9" t="s">
        <v>55</v>
      </c>
      <c r="I8" s="9" t="s">
        <v>6</v>
      </c>
      <c r="J8" s="9" t="s">
        <v>7</v>
      </c>
    </row>
    <row r="9" spans="1:10" x14ac:dyDescent="0.3">
      <c r="A9" s="2">
        <v>1</v>
      </c>
      <c r="B9" s="2" t="s">
        <v>42</v>
      </c>
      <c r="C9" s="2">
        <v>1</v>
      </c>
      <c r="D9" s="2">
        <v>1</v>
      </c>
      <c r="E9" s="2">
        <v>0</v>
      </c>
      <c r="F9" s="2"/>
      <c r="H9" s="2">
        <f>SUM(C9:C14)</f>
        <v>12</v>
      </c>
      <c r="I9" s="2">
        <f>SUM(D9:D14)</f>
        <v>10</v>
      </c>
      <c r="J9" s="2">
        <f>SUM(E9:E14)</f>
        <v>2</v>
      </c>
    </row>
    <row r="10" spans="1:10" x14ac:dyDescent="0.3">
      <c r="A10" s="2">
        <v>2</v>
      </c>
      <c r="B10" s="6" t="s">
        <v>43</v>
      </c>
      <c r="C10" s="2">
        <v>4</v>
      </c>
      <c r="D10" s="2">
        <v>2</v>
      </c>
      <c r="E10" s="2">
        <v>2</v>
      </c>
      <c r="F10" s="2"/>
    </row>
    <row r="11" spans="1:10" x14ac:dyDescent="0.3">
      <c r="A11" s="2">
        <v>3</v>
      </c>
      <c r="B11" s="5" t="s">
        <v>44</v>
      </c>
      <c r="C11" s="2">
        <v>2</v>
      </c>
      <c r="D11" s="2">
        <v>2</v>
      </c>
      <c r="E11" s="2">
        <v>0</v>
      </c>
      <c r="F11" s="2"/>
    </row>
    <row r="12" spans="1:10" x14ac:dyDescent="0.3">
      <c r="A12" s="2">
        <v>4</v>
      </c>
      <c r="B12" s="5" t="s">
        <v>45</v>
      </c>
      <c r="C12" s="2">
        <v>3</v>
      </c>
      <c r="D12" s="2">
        <v>3</v>
      </c>
      <c r="E12" s="2">
        <v>0</v>
      </c>
      <c r="F12" s="2"/>
    </row>
    <row r="13" spans="1:10" x14ac:dyDescent="0.3">
      <c r="A13" s="2">
        <v>5</v>
      </c>
      <c r="B13" s="2" t="s">
        <v>46</v>
      </c>
      <c r="C13" s="2">
        <v>1</v>
      </c>
      <c r="D13" s="2">
        <v>1</v>
      </c>
      <c r="E13" s="2">
        <v>0</v>
      </c>
      <c r="F13" s="2"/>
    </row>
    <row r="14" spans="1:10" x14ac:dyDescent="0.3">
      <c r="A14" s="2">
        <v>6</v>
      </c>
      <c r="B14" s="5" t="s">
        <v>9</v>
      </c>
      <c r="C14" s="2">
        <v>1</v>
      </c>
      <c r="D14" s="2">
        <v>1</v>
      </c>
      <c r="E14" s="2">
        <v>0</v>
      </c>
      <c r="F14" s="2"/>
    </row>
    <row r="15" spans="1:10" x14ac:dyDescent="0.3">
      <c r="A15" s="25" t="s">
        <v>8</v>
      </c>
      <c r="B15" s="25"/>
      <c r="C15" s="8">
        <f>SUM(C9:C14)</f>
        <v>12</v>
      </c>
      <c r="D15" s="8">
        <f>SUM(D9:D14)</f>
        <v>10</v>
      </c>
      <c r="E15" s="8">
        <f>SUM(E9:E14)</f>
        <v>2</v>
      </c>
      <c r="F15" s="8"/>
    </row>
  </sheetData>
  <mergeCells count="8">
    <mergeCell ref="A15:B15"/>
    <mergeCell ref="B2:J2"/>
    <mergeCell ref="C3:F3"/>
    <mergeCell ref="G3:H3"/>
    <mergeCell ref="G4:H4"/>
    <mergeCell ref="G5:J5"/>
    <mergeCell ref="C6:F6"/>
    <mergeCell ref="G6:J6"/>
  </mergeCells>
  <pageMargins left="0.7" right="0.7" top="0.75" bottom="0.75" header="0.3" footer="0.3"/>
  <pageSetup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C4E59-20BB-494E-8265-1C2BFE93A105}">
  <sheetPr>
    <pageSetUpPr fitToPage="1"/>
  </sheetPr>
  <dimension ref="A1:J16"/>
  <sheetViews>
    <sheetView workbookViewId="0">
      <selection activeCell="D18" sqref="D18"/>
    </sheetView>
  </sheetViews>
  <sheetFormatPr defaultColWidth="9.09765625" defaultRowHeight="16.8" x14ac:dyDescent="0.3"/>
  <cols>
    <col min="1" max="1" width="5.3984375" style="1" customWidth="1"/>
    <col min="2" max="2" width="36.59765625" style="1" customWidth="1"/>
    <col min="3" max="3" width="10.3984375" style="1" bestFit="1" customWidth="1"/>
    <col min="4" max="5" width="9.09765625" style="1"/>
    <col min="6" max="6" width="26.19921875" style="1" customWidth="1"/>
    <col min="7" max="7" width="8.3984375" style="1" customWidth="1"/>
    <col min="8" max="8" width="22.296875" style="1" customWidth="1"/>
    <col min="9" max="9" width="19.69921875" style="1" customWidth="1"/>
    <col min="10" max="10" width="17.3984375" style="1" bestFit="1" customWidth="1"/>
    <col min="11" max="16384" width="9.09765625" style="1"/>
  </cols>
  <sheetData>
    <row r="1" spans="1:10" ht="17.399999999999999" thickBot="1" x14ac:dyDescent="0.35">
      <c r="A1" s="3"/>
    </row>
    <row r="2" spans="1:10" x14ac:dyDescent="0.3">
      <c r="B2" s="22" t="s">
        <v>47</v>
      </c>
      <c r="C2" s="23"/>
      <c r="D2" s="23"/>
      <c r="E2" s="23"/>
      <c r="F2" s="23"/>
      <c r="G2" s="23"/>
      <c r="H2" s="23"/>
      <c r="I2" s="23"/>
      <c r="J2" s="24"/>
    </row>
    <row r="3" spans="1:10" ht="16.8" customHeight="1" x14ac:dyDescent="0.3">
      <c r="B3" s="10" t="s">
        <v>25</v>
      </c>
      <c r="C3" s="31" t="s">
        <v>24</v>
      </c>
      <c r="D3" s="31"/>
      <c r="E3" s="31"/>
      <c r="F3" s="32"/>
      <c r="G3" s="33" t="s">
        <v>0</v>
      </c>
      <c r="H3" s="34"/>
      <c r="I3" s="17">
        <f>(I9+J9)*100/H9</f>
        <v>100</v>
      </c>
      <c r="J3" s="18" t="s">
        <v>29</v>
      </c>
    </row>
    <row r="4" spans="1:10" s="4" customFormat="1" ht="16.8" customHeight="1" x14ac:dyDescent="0.3">
      <c r="A4" s="1"/>
      <c r="B4" s="11" t="s">
        <v>26</v>
      </c>
      <c r="C4" s="13" t="s">
        <v>13</v>
      </c>
      <c r="D4" s="13"/>
      <c r="E4" s="13"/>
      <c r="F4" s="14"/>
      <c r="G4" s="35" t="s">
        <v>1</v>
      </c>
      <c r="H4" s="36"/>
      <c r="I4" s="19">
        <f>I9*100/H9</f>
        <v>75.862068965517238</v>
      </c>
      <c r="J4" s="20" t="s">
        <v>29</v>
      </c>
    </row>
    <row r="5" spans="1:10" x14ac:dyDescent="0.3">
      <c r="B5" s="10" t="s">
        <v>10</v>
      </c>
      <c r="C5" s="15" t="s">
        <v>11</v>
      </c>
      <c r="D5" s="15"/>
      <c r="E5" s="21" t="s">
        <v>30</v>
      </c>
      <c r="F5" s="16" t="s">
        <v>31</v>
      </c>
      <c r="G5" s="37"/>
      <c r="H5" s="38"/>
      <c r="I5" s="38"/>
      <c r="J5" s="39"/>
    </row>
    <row r="6" spans="1:10" ht="17.399999999999999" thickBot="1" x14ac:dyDescent="0.35">
      <c r="B6" s="12" t="s">
        <v>27</v>
      </c>
      <c r="C6" s="26" t="s">
        <v>12</v>
      </c>
      <c r="D6" s="26"/>
      <c r="E6" s="26"/>
      <c r="F6" s="27"/>
      <c r="G6" s="28"/>
      <c r="H6" s="29"/>
      <c r="I6" s="29"/>
      <c r="J6" s="30"/>
    </row>
    <row r="8" spans="1:10" s="3" customFormat="1" x14ac:dyDescent="0.25">
      <c r="A8" s="7" t="s">
        <v>2</v>
      </c>
      <c r="B8" s="7" t="s">
        <v>14</v>
      </c>
      <c r="C8" s="7" t="s">
        <v>15</v>
      </c>
      <c r="D8" s="7" t="s">
        <v>3</v>
      </c>
      <c r="E8" s="7" t="s">
        <v>4</v>
      </c>
      <c r="F8" s="7" t="s">
        <v>5</v>
      </c>
      <c r="H8" s="9" t="s">
        <v>55</v>
      </c>
      <c r="I8" s="9" t="s">
        <v>6</v>
      </c>
      <c r="J8" s="9" t="s">
        <v>7</v>
      </c>
    </row>
    <row r="9" spans="1:10" x14ac:dyDescent="0.3">
      <c r="A9" s="2">
        <v>1</v>
      </c>
      <c r="B9" s="2" t="s">
        <v>48</v>
      </c>
      <c r="C9" s="2">
        <v>11</v>
      </c>
      <c r="D9" s="2">
        <v>7</v>
      </c>
      <c r="E9" s="2">
        <v>4</v>
      </c>
      <c r="F9" s="2"/>
      <c r="H9" s="2">
        <f>SUM(C9:C15)</f>
        <v>29</v>
      </c>
      <c r="I9" s="2">
        <f>SUM(D9:D15)</f>
        <v>22</v>
      </c>
      <c r="J9" s="2">
        <f>SUM(E9:E15)</f>
        <v>7</v>
      </c>
    </row>
    <row r="10" spans="1:10" x14ac:dyDescent="0.3">
      <c r="A10" s="2">
        <v>2</v>
      </c>
      <c r="B10" s="6" t="s">
        <v>49</v>
      </c>
      <c r="C10" s="2">
        <v>7</v>
      </c>
      <c r="D10" s="2">
        <v>7</v>
      </c>
      <c r="E10" s="2">
        <v>0</v>
      </c>
      <c r="F10" s="2"/>
    </row>
    <row r="11" spans="1:10" x14ac:dyDescent="0.3">
      <c r="A11" s="2">
        <v>3</v>
      </c>
      <c r="B11" s="5" t="s">
        <v>50</v>
      </c>
      <c r="C11" s="2">
        <v>2</v>
      </c>
      <c r="D11" s="2">
        <v>2</v>
      </c>
      <c r="E11" s="2">
        <v>0</v>
      </c>
      <c r="F11" s="2"/>
    </row>
    <row r="12" spans="1:10" x14ac:dyDescent="0.3">
      <c r="A12" s="2">
        <v>4</v>
      </c>
      <c r="B12" s="5" t="s">
        <v>51</v>
      </c>
      <c r="C12" s="2">
        <v>1</v>
      </c>
      <c r="D12" s="2">
        <v>1</v>
      </c>
      <c r="E12" s="2">
        <v>0</v>
      </c>
      <c r="F12" s="2"/>
    </row>
    <row r="13" spans="1:10" x14ac:dyDescent="0.3">
      <c r="A13" s="2">
        <v>5</v>
      </c>
      <c r="B13" s="2" t="s">
        <v>52</v>
      </c>
      <c r="C13" s="2">
        <v>5</v>
      </c>
      <c r="D13" s="2">
        <v>5</v>
      </c>
      <c r="E13" s="2">
        <v>0</v>
      </c>
      <c r="F13" s="2"/>
    </row>
    <row r="14" spans="1:10" x14ac:dyDescent="0.3">
      <c r="A14" s="2">
        <v>6</v>
      </c>
      <c r="B14" s="5" t="s">
        <v>53</v>
      </c>
      <c r="C14" s="2">
        <v>2</v>
      </c>
      <c r="D14" s="2">
        <v>0</v>
      </c>
      <c r="E14" s="2">
        <v>2</v>
      </c>
      <c r="F14" s="2"/>
    </row>
    <row r="15" spans="1:10" x14ac:dyDescent="0.3">
      <c r="A15" s="2">
        <v>7</v>
      </c>
      <c r="B15" s="2" t="s">
        <v>54</v>
      </c>
      <c r="C15" s="2">
        <v>1</v>
      </c>
      <c r="D15" s="2">
        <v>0</v>
      </c>
      <c r="E15" s="2">
        <v>1</v>
      </c>
      <c r="F15" s="2"/>
    </row>
    <row r="16" spans="1:10" x14ac:dyDescent="0.3">
      <c r="A16" s="25" t="s">
        <v>8</v>
      </c>
      <c r="B16" s="25"/>
      <c r="C16" s="8">
        <f>SUM(C9:C15)</f>
        <v>29</v>
      </c>
      <c r="D16" s="8">
        <f>SUM(D9:D15)</f>
        <v>22</v>
      </c>
      <c r="E16" s="8">
        <f>SUM(E9:E15)</f>
        <v>7</v>
      </c>
      <c r="F16" s="8"/>
    </row>
  </sheetData>
  <mergeCells count="8">
    <mergeCell ref="A16:B16"/>
    <mergeCell ref="B2:J2"/>
    <mergeCell ref="C3:F3"/>
    <mergeCell ref="G3:H3"/>
    <mergeCell ref="G4:H4"/>
    <mergeCell ref="G5:J5"/>
    <mergeCell ref="C6:F6"/>
    <mergeCell ref="G6:J6"/>
  </mergeCells>
  <pageMargins left="0.7" right="0.7" top="0.75" bottom="0.75" header="0.3" footer="0.3"/>
  <pageSetup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Sprint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Gia Huy</dc:creator>
  <cp:lastModifiedBy>Windows User</cp:lastModifiedBy>
  <dcterms:created xsi:type="dcterms:W3CDTF">2020-12-14T16:13:43Z</dcterms:created>
  <dcterms:modified xsi:type="dcterms:W3CDTF">2021-12-17T06:45:54Z</dcterms:modified>
</cp:coreProperties>
</file>