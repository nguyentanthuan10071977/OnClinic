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APSTONE1_TEAM37_DOCUMENT\12. Sprint Backlog\"/>
    </mc:Choice>
  </mc:AlternateContent>
  <xr:revisionPtr revIDLastSave="0" documentId="13_ncr:1_{CC806EDE-3897-4B97-A467-5ECF2D63D4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timated" sheetId="1" r:id="rId1"/>
    <sheet name="Actual" sheetId="2" r:id="rId2"/>
    <sheet name="Burn-down-Sprin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jlhXEzqyBUp08NqZBv0r3ErLkO1Q=="/>
    </ext>
  </extLst>
</workbook>
</file>

<file path=xl/calcChain.xml><?xml version="1.0" encoding="utf-8"?>
<calcChain xmlns="http://schemas.openxmlformats.org/spreadsheetml/2006/main">
  <c r="AA42" i="2" l="1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C8" i="2"/>
  <c r="C7" i="2"/>
  <c r="C6" i="2"/>
  <c r="C5" i="2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C8" i="1"/>
  <c r="C7" i="1"/>
  <c r="C6" i="1"/>
  <c r="C5" i="1"/>
  <c r="D5" i="1" s="1"/>
  <c r="D5" i="2" l="1"/>
</calcChain>
</file>

<file path=xl/sharedStrings.xml><?xml version="1.0" encoding="utf-8"?>
<sst xmlns="http://schemas.openxmlformats.org/spreadsheetml/2006/main" count="114" uniqueCount="52">
  <si>
    <t>SPRINT 2 SPRINT BACKLOG - PLAN</t>
  </si>
  <si>
    <t xml:space="preserve">Team Availability </t>
  </si>
  <si>
    <t>Name</t>
  </si>
  <si>
    <t>Available Hours</t>
  </si>
  <si>
    <t>Truong Gia Huy</t>
  </si>
  <si>
    <t>On Time</t>
  </si>
  <si>
    <t>Ngo Van Kha</t>
  </si>
  <si>
    <t>Lately</t>
  </si>
  <si>
    <t>Le Van Xuan</t>
  </si>
  <si>
    <t>Early</t>
  </si>
  <si>
    <t>Tran Nguyen Thanh Hong</t>
  </si>
  <si>
    <t xml:space="preserve">Unfinished
</t>
  </si>
  <si>
    <t>Sprint</t>
  </si>
  <si>
    <t>Component</t>
  </si>
  <si>
    <t>Task name</t>
  </si>
  <si>
    <t>Responsible Member</t>
  </si>
  <si>
    <t>Total</t>
  </si>
  <si>
    <t>Initial Sprint 2</t>
  </si>
  <si>
    <t>Sprint Planning Meeting</t>
  </si>
  <si>
    <t>All member</t>
  </si>
  <si>
    <t>Create Sprint Backlog, User Story for Sprint 2</t>
  </si>
  <si>
    <t>Huy</t>
  </si>
  <si>
    <t>Create TestCase Sprint 2</t>
  </si>
  <si>
    <t>Hong</t>
  </si>
  <si>
    <t>Complete Test Plan Document</t>
  </si>
  <si>
    <t>Huy, Hong</t>
  </si>
  <si>
    <t>Design</t>
  </si>
  <si>
    <t xml:space="preserve">Design UI </t>
  </si>
  <si>
    <t>Huy, Xuan</t>
  </si>
  <si>
    <t>Implementation</t>
  </si>
  <si>
    <t>Update Database</t>
  </si>
  <si>
    <t>Kha, Xuan</t>
  </si>
  <si>
    <t>XML &amp; JAVA - Danh sách suất khám đã đặt</t>
  </si>
  <si>
    <t>XML &amp; JAVA - Tạo đơn thuốc</t>
  </si>
  <si>
    <t>Xuan</t>
  </si>
  <si>
    <t>XML &amp; JAVA - Lịch sử khám</t>
  </si>
  <si>
    <t>Kha</t>
  </si>
  <si>
    <t>XML &amp; JAVA - Xem đơn thuốc</t>
  </si>
  <si>
    <t>XML &amp; JAVA - Khám Online sử dụng video call</t>
  </si>
  <si>
    <t>Testing</t>
  </si>
  <si>
    <t>Test Sprint 2</t>
  </si>
  <si>
    <t>Fix Bugs</t>
  </si>
  <si>
    <t>Fix bugs for Sprint 2</t>
  </si>
  <si>
    <t>Release Sprint 2</t>
  </si>
  <si>
    <t>Review Meeting</t>
  </si>
  <si>
    <t>RetroSpective</t>
  </si>
  <si>
    <t>SPRINT 2 SPRINT BACKLOG - ACTUAL</t>
  </si>
  <si>
    <t>Actual</t>
  </si>
  <si>
    <t>Create Test Plan Document</t>
  </si>
  <si>
    <t>XML &amp; JAVA - Danh sách suất khám đã tạo</t>
  </si>
  <si>
    <t>Estimated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</si>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</sst>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Arial"/>
    </font>
    <font>
      <b/>
      <sz val="18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sz val="11"/>
      <name val="Arial"/>
    </font>
    <font>
      <sz val="13"/>
      <color theme="9"/>
      <name val="Times New Roman"/>
    </font>
    <font>
      <sz val="13"/>
      <color rgb="FF0D0D0D"/>
      <name val="Times New Roman"/>
    </font>
    <font>
      <sz val="13"/>
      <color rgb="FF00000A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4" fontId="3" fillId="6" borderId="1" xfId="0" applyNumberFormat="1" applyFont="1" applyFill="1" applyBorder="1" applyAlignment="1">
      <alignment horizontal="center" vertical="center" textRotation="90" wrapText="1" readingOrder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Font="1" applyBorder="1"/>
    <xf numFmtId="0" fontId="2" fillId="0" borderId="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4" fillId="0" borderId="10" xfId="0" applyFont="1" applyBorder="1"/>
    <xf numFmtId="0" fontId="2" fillId="0" borderId="10" xfId="0" applyFont="1" applyBorder="1"/>
    <xf numFmtId="0" fontId="4" fillId="7" borderId="10" xfId="0" applyFont="1" applyFill="1" applyBorder="1" applyAlignment="1">
      <alignment horizontal="left"/>
    </xf>
    <xf numFmtId="0" fontId="2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13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4" fillId="0" borderId="3" xfId="0" applyFont="1" applyBorder="1" applyAlignment="1">
      <alignment vertical="center" wrapText="1"/>
    </xf>
    <xf numFmtId="0" fontId="5" fillId="0" borderId="4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5" fillId="0" borderId="10" xfId="0" applyFont="1" applyBorder="1"/>
    <xf numFmtId="0" fontId="2" fillId="0" borderId="10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304800</xdr:colOff>
      <xdr:row>0</xdr:row>
      <xdr:rowOff>152400</xdr:rowOff>
    </xdr:from>
    <xdr:ext cx="7610475" cy="4657725"/>
    <xdr:pic>
      <xdr:nvPicPr>
        <xdr:cNvPr id="1549465355" name="Chart1" title="Biểu đồ">
          <a:extLst>
            <a:ext uri="{FF2B5EF4-FFF2-40B4-BE49-F238E27FC236}">
              <a16:creationId xmlns:a16="http://schemas.microsoft.com/office/drawing/2014/main" id="{00000000-0008-0000-0200-00000BF75A5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9"/>
  <sheetViews>
    <sheetView tabSelected="1" workbookViewId="0">
      <selection activeCell="G6" sqref="G6"/>
    </sheetView>
  </sheetViews>
  <sheetFormatPr defaultColWidth="12.59765625" defaultRowHeight="15" customHeight="1" x14ac:dyDescent="0.25"/>
  <cols>
    <col min="1" max="1" width="7.59765625" customWidth="1"/>
    <col min="2" max="2" width="24.09765625" customWidth="1"/>
    <col min="3" max="3" width="34.5" customWidth="1"/>
    <col min="4" max="4" width="12.09765625" customWidth="1"/>
    <col min="5" max="5" width="5.69921875" customWidth="1"/>
    <col min="6" max="6" width="4.69921875" customWidth="1"/>
    <col min="7" max="8" width="4.19921875" customWidth="1"/>
    <col min="9" max="9" width="4.8984375" customWidth="1"/>
    <col min="10" max="10" width="4.3984375" customWidth="1"/>
    <col min="11" max="11" width="4" customWidth="1"/>
    <col min="12" max="12" width="4.796875" customWidth="1"/>
    <col min="13" max="13" width="4" customWidth="1"/>
    <col min="14" max="14" width="4.5" customWidth="1"/>
    <col min="15" max="15" width="4.3984375" customWidth="1"/>
    <col min="16" max="16" width="4" customWidth="1"/>
    <col min="17" max="17" width="4.09765625" customWidth="1"/>
    <col min="18" max="18" width="4.296875" customWidth="1"/>
    <col min="19" max="19" width="4.3984375" customWidth="1"/>
    <col min="20" max="25" width="4.09765625" customWidth="1"/>
    <col min="26" max="27" width="2.69921875" customWidth="1"/>
  </cols>
  <sheetData>
    <row r="1" spans="1:27" ht="22.5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 ht="15" customHeight="1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6.5" customHeight="1" x14ac:dyDescent="0.25">
      <c r="A3" s="1"/>
      <c r="B3" s="72" t="s">
        <v>1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6.5" customHeight="1" x14ac:dyDescent="0.3">
      <c r="A5" s="1"/>
      <c r="B5" s="5" t="s">
        <v>4</v>
      </c>
      <c r="C5" s="6">
        <f>SUMIF($D$11:$D$41,"All member",$F$11:$F$41)/4+SUMIF($D$11:$D$41,"Huy",F11:F41)+SUMIF($D$11:$D$41,"Huy, Hong",F11:F41)/2+SUMIF($D$11:$D$41,"Kha, Huy",F11:F41)/2+SUMIF($D$11:$D$41,"Huy, Xuan",F11:F41)/2</f>
        <v>86</v>
      </c>
      <c r="D5" s="73">
        <f>SUM(C5:C8)</f>
        <v>309</v>
      </c>
      <c r="E5" s="2"/>
      <c r="F5" s="2"/>
      <c r="G5" s="2"/>
      <c r="H5" s="2"/>
      <c r="I5" s="2"/>
      <c r="J5" s="2"/>
      <c r="K5" s="2"/>
      <c r="L5" s="2"/>
      <c r="M5" s="7"/>
      <c r="N5" s="76" t="s">
        <v>5</v>
      </c>
      <c r="O5" s="7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6.5" customHeight="1" x14ac:dyDescent="0.3">
      <c r="A6" s="1"/>
      <c r="B6" s="5" t="s">
        <v>6</v>
      </c>
      <c r="C6" s="6">
        <f>SUMIF($D$11:$D$41,"All member",$F$11:$F$41)/4+SUMIF($D$11:$D$41,"Kha",F11:F41)+SUMIF($D$11:$D$41,"Kha, Xuan",F11:F41)/2</f>
        <v>76</v>
      </c>
      <c r="D6" s="74"/>
      <c r="E6" s="2"/>
      <c r="F6" s="2"/>
      <c r="G6" s="2"/>
      <c r="H6" s="2"/>
      <c r="I6" s="2"/>
      <c r="J6" s="2"/>
      <c r="K6" s="2"/>
      <c r="L6" s="2"/>
      <c r="M6" s="8"/>
      <c r="N6" s="76" t="s">
        <v>7</v>
      </c>
      <c r="O6" s="7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6.5" customHeight="1" x14ac:dyDescent="0.3">
      <c r="A7" s="1"/>
      <c r="B7" s="5" t="s">
        <v>8</v>
      </c>
      <c r="C7" s="6">
        <f>SUMIF($D$11:$D$41,"All member",$F$11:$F$41)/4+SUMIF($D$11:$D$41,"Xuan",F11:F41)+SUMIF($D$11:$D$41,"Kha, Xuan",F11:F41)/2+SUMIF($D$11:$D$41,"Huy, Xuan",F11:F41)/2</f>
        <v>76</v>
      </c>
      <c r="D7" s="74"/>
      <c r="E7" s="2"/>
      <c r="F7" s="2"/>
      <c r="G7" s="2"/>
      <c r="H7" s="2"/>
      <c r="I7" s="2"/>
      <c r="J7" s="2"/>
      <c r="K7" s="2"/>
      <c r="L7" s="2"/>
      <c r="M7" s="9"/>
      <c r="N7" s="78" t="s">
        <v>9</v>
      </c>
      <c r="O7" s="7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6.5" customHeight="1" x14ac:dyDescent="0.3">
      <c r="A8" s="1"/>
      <c r="B8" s="5" t="s">
        <v>10</v>
      </c>
      <c r="C8" s="6">
        <f>SUMIF($D$11:$D$41,"All member",$F$11:$F$41)/4+SUMIF($D$11:$D$41,"Hong",F11:F41)+SUMIF($D$11:$D$41,"Huy, Hong",F11:F41)/2</f>
        <v>71</v>
      </c>
      <c r="D8" s="75"/>
      <c r="E8" s="2"/>
      <c r="F8" s="2"/>
      <c r="G8" s="2"/>
      <c r="H8" s="2"/>
      <c r="I8" s="2"/>
      <c r="J8" s="2"/>
      <c r="K8" s="2"/>
      <c r="L8" s="2"/>
      <c r="M8" s="10"/>
      <c r="N8" s="79" t="s">
        <v>11</v>
      </c>
      <c r="O8" s="7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18.5" customHeight="1" x14ac:dyDescent="0.25">
      <c r="A10" s="48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11">
        <v>44480</v>
      </c>
      <c r="G10" s="11">
        <v>44481</v>
      </c>
      <c r="H10" s="11">
        <v>44482</v>
      </c>
      <c r="I10" s="11">
        <v>44483</v>
      </c>
      <c r="J10" s="11">
        <v>44484</v>
      </c>
      <c r="K10" s="11">
        <v>44485</v>
      </c>
      <c r="L10" s="11">
        <v>44486</v>
      </c>
      <c r="M10" s="11">
        <v>44487</v>
      </c>
      <c r="N10" s="11">
        <v>44488</v>
      </c>
      <c r="O10" s="11">
        <v>44489</v>
      </c>
      <c r="P10" s="11">
        <v>44490</v>
      </c>
      <c r="Q10" s="11">
        <v>44491</v>
      </c>
      <c r="R10" s="11">
        <v>44492</v>
      </c>
      <c r="S10" s="11">
        <v>44493</v>
      </c>
      <c r="T10" s="11">
        <v>44494</v>
      </c>
      <c r="U10" s="11">
        <v>44495</v>
      </c>
      <c r="V10" s="11">
        <v>44496</v>
      </c>
      <c r="W10" s="11">
        <v>44497</v>
      </c>
      <c r="X10" s="11">
        <v>44498</v>
      </c>
      <c r="Y10" s="11">
        <v>44499</v>
      </c>
      <c r="Z10" s="11">
        <v>44500</v>
      </c>
    </row>
    <row r="11" spans="1:27" ht="16.8" x14ac:dyDescent="0.25">
      <c r="A11" s="62">
        <v>2</v>
      </c>
      <c r="B11" s="67" t="s">
        <v>17</v>
      </c>
      <c r="C11" s="12" t="s">
        <v>18</v>
      </c>
      <c r="D11" s="13" t="s">
        <v>19</v>
      </c>
      <c r="E11" s="14">
        <v>8</v>
      </c>
      <c r="F11" s="15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7" ht="33.6" x14ac:dyDescent="0.25">
      <c r="A12" s="62"/>
      <c r="B12" s="68"/>
      <c r="C12" s="12" t="s">
        <v>20</v>
      </c>
      <c r="D12" s="13" t="s">
        <v>21</v>
      </c>
      <c r="E12" s="14">
        <v>10</v>
      </c>
      <c r="F12" s="14">
        <v>10</v>
      </c>
      <c r="G12" s="16">
        <v>5</v>
      </c>
      <c r="H12" s="15"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7" ht="16.8" x14ac:dyDescent="0.25">
      <c r="A13" s="62"/>
      <c r="B13" s="68"/>
      <c r="C13" s="12" t="s">
        <v>22</v>
      </c>
      <c r="D13" s="13" t="s">
        <v>23</v>
      </c>
      <c r="E13" s="14">
        <v>10</v>
      </c>
      <c r="F13" s="14">
        <v>10</v>
      </c>
      <c r="G13" s="16">
        <v>5</v>
      </c>
      <c r="H13" s="15">
        <v>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7" ht="16.8" x14ac:dyDescent="0.25">
      <c r="A14" s="62"/>
      <c r="B14" s="69"/>
      <c r="C14" s="12" t="s">
        <v>24</v>
      </c>
      <c r="D14" s="13" t="s">
        <v>25</v>
      </c>
      <c r="E14" s="14">
        <v>20</v>
      </c>
      <c r="F14" s="14">
        <v>20</v>
      </c>
      <c r="G14" s="16">
        <v>20</v>
      </c>
      <c r="H14" s="16">
        <v>10</v>
      </c>
      <c r="I14" s="15">
        <v>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7" ht="13.5" customHeight="1" x14ac:dyDescent="0.25">
      <c r="A15" s="62"/>
      <c r="B15" s="63"/>
      <c r="C15" s="64"/>
      <c r="D15" s="13"/>
      <c r="E15" s="13"/>
      <c r="F15" s="13"/>
      <c r="G15" s="13"/>
      <c r="H15" s="14"/>
      <c r="I15" s="14"/>
      <c r="J15" s="14"/>
      <c r="K15" s="14"/>
      <c r="L15" s="14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7" ht="18.75" customHeight="1" x14ac:dyDescent="0.25">
      <c r="A16" s="62"/>
      <c r="B16" s="46" t="s">
        <v>26</v>
      </c>
      <c r="C16" s="17" t="s">
        <v>27</v>
      </c>
      <c r="D16" s="13" t="s">
        <v>28</v>
      </c>
      <c r="E16" s="13">
        <v>20</v>
      </c>
      <c r="F16" s="13">
        <v>20</v>
      </c>
      <c r="G16" s="18">
        <v>20</v>
      </c>
      <c r="H16" s="16">
        <v>20</v>
      </c>
      <c r="I16" s="14">
        <v>20</v>
      </c>
      <c r="J16" s="14">
        <v>10</v>
      </c>
      <c r="K16" s="15">
        <v>0</v>
      </c>
      <c r="L16" s="14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7" ht="15.75" customHeight="1" x14ac:dyDescent="0.25">
      <c r="A17" s="62"/>
      <c r="B17" s="63"/>
      <c r="C17" s="64"/>
      <c r="D17" s="13"/>
      <c r="E17" s="13"/>
      <c r="F17" s="13"/>
      <c r="G17" s="13"/>
      <c r="H17" s="13"/>
      <c r="I17" s="13"/>
      <c r="J17" s="14"/>
      <c r="K17" s="14"/>
      <c r="L17" s="16"/>
      <c r="M17" s="14"/>
      <c r="N17" s="14"/>
      <c r="O17" s="16"/>
      <c r="P17" s="16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7" ht="15.75" customHeight="1" x14ac:dyDescent="0.3">
      <c r="A18" s="62"/>
      <c r="B18" s="67" t="s">
        <v>29</v>
      </c>
      <c r="C18" s="19" t="s">
        <v>30</v>
      </c>
      <c r="D18" s="13" t="s">
        <v>31</v>
      </c>
      <c r="E18" s="13">
        <v>20</v>
      </c>
      <c r="F18" s="13">
        <v>20</v>
      </c>
      <c r="G18" s="13">
        <v>20</v>
      </c>
      <c r="H18" s="13">
        <v>20</v>
      </c>
      <c r="I18" s="13">
        <v>20</v>
      </c>
      <c r="J18" s="14">
        <v>20</v>
      </c>
      <c r="K18" s="14">
        <v>20</v>
      </c>
      <c r="L18" s="16">
        <v>10</v>
      </c>
      <c r="M18" s="15">
        <v>0</v>
      </c>
      <c r="N18" s="14"/>
      <c r="O18" s="16"/>
      <c r="P18" s="16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7" ht="14.25" customHeight="1" x14ac:dyDescent="0.3">
      <c r="A19" s="62"/>
      <c r="B19" s="68"/>
      <c r="C19" s="19" t="s">
        <v>32</v>
      </c>
      <c r="D19" s="13" t="s">
        <v>21</v>
      </c>
      <c r="E19" s="20">
        <v>20</v>
      </c>
      <c r="F19" s="20">
        <v>20</v>
      </c>
      <c r="G19" s="20">
        <v>20</v>
      </c>
      <c r="H19" s="20">
        <v>20</v>
      </c>
      <c r="I19" s="20">
        <v>20</v>
      </c>
      <c r="J19" s="20">
        <v>20</v>
      </c>
      <c r="K19" s="20">
        <v>20</v>
      </c>
      <c r="L19" s="20">
        <v>20</v>
      </c>
      <c r="M19" s="20">
        <v>20</v>
      </c>
      <c r="N19" s="20">
        <v>15</v>
      </c>
      <c r="O19" s="20">
        <v>10</v>
      </c>
      <c r="P19" s="21">
        <v>5</v>
      </c>
      <c r="Q19" s="22">
        <v>0</v>
      </c>
      <c r="R19" s="21"/>
      <c r="S19" s="20"/>
      <c r="T19" s="20"/>
      <c r="U19" s="20"/>
      <c r="V19" s="20"/>
      <c r="W19" s="20"/>
      <c r="X19" s="14"/>
      <c r="Y19" s="14"/>
      <c r="Z19" s="14"/>
    </row>
    <row r="20" spans="1:27" ht="14.25" customHeight="1" x14ac:dyDescent="0.3">
      <c r="A20" s="62"/>
      <c r="B20" s="68"/>
      <c r="C20" s="19" t="s">
        <v>33</v>
      </c>
      <c r="D20" s="13" t="s">
        <v>34</v>
      </c>
      <c r="E20" s="20">
        <v>20</v>
      </c>
      <c r="F20" s="20">
        <v>20</v>
      </c>
      <c r="G20" s="20">
        <v>20</v>
      </c>
      <c r="H20" s="20">
        <v>20</v>
      </c>
      <c r="I20" s="20">
        <v>20</v>
      </c>
      <c r="J20" s="20">
        <v>20</v>
      </c>
      <c r="K20" s="20">
        <v>20</v>
      </c>
      <c r="L20" s="20">
        <v>20</v>
      </c>
      <c r="M20" s="20">
        <v>20</v>
      </c>
      <c r="N20" s="20">
        <v>15</v>
      </c>
      <c r="O20" s="20">
        <v>10</v>
      </c>
      <c r="P20" s="20">
        <v>5</v>
      </c>
      <c r="Q20" s="22">
        <v>0</v>
      </c>
      <c r="R20" s="21"/>
      <c r="S20" s="20"/>
      <c r="T20" s="21"/>
      <c r="U20" s="20"/>
      <c r="V20" s="20"/>
      <c r="W20" s="20"/>
      <c r="X20" s="14"/>
      <c r="Y20" s="14"/>
      <c r="Z20" s="14"/>
    </row>
    <row r="21" spans="1:27" ht="14.25" customHeight="1" x14ac:dyDescent="0.3">
      <c r="A21" s="62"/>
      <c r="B21" s="68"/>
      <c r="C21" s="19" t="s">
        <v>35</v>
      </c>
      <c r="D21" s="13" t="s">
        <v>36</v>
      </c>
      <c r="E21" s="20">
        <v>30</v>
      </c>
      <c r="F21" s="20">
        <v>30</v>
      </c>
      <c r="G21" s="20">
        <v>30</v>
      </c>
      <c r="H21" s="20">
        <v>30</v>
      </c>
      <c r="I21" s="20">
        <v>30</v>
      </c>
      <c r="J21" s="20">
        <v>30</v>
      </c>
      <c r="K21" s="20">
        <v>30</v>
      </c>
      <c r="L21" s="20">
        <v>30</v>
      </c>
      <c r="M21" s="20">
        <v>30</v>
      </c>
      <c r="N21" s="20">
        <v>25</v>
      </c>
      <c r="O21" s="20">
        <v>20</v>
      </c>
      <c r="P21" s="20">
        <v>15</v>
      </c>
      <c r="Q21" s="21">
        <v>10</v>
      </c>
      <c r="R21" s="21">
        <v>5</v>
      </c>
      <c r="S21" s="22">
        <v>0</v>
      </c>
      <c r="T21" s="20"/>
      <c r="U21" s="21"/>
      <c r="V21" s="20"/>
      <c r="W21" s="20"/>
      <c r="X21" s="14"/>
      <c r="Y21" s="14"/>
      <c r="Z21" s="14"/>
    </row>
    <row r="22" spans="1:27" ht="14.25" customHeight="1" x14ac:dyDescent="0.3">
      <c r="A22" s="62"/>
      <c r="B22" s="68"/>
      <c r="C22" s="19" t="s">
        <v>37</v>
      </c>
      <c r="D22" s="13" t="s">
        <v>23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15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10</v>
      </c>
      <c r="R22" s="21">
        <v>5</v>
      </c>
      <c r="S22" s="22">
        <v>0</v>
      </c>
      <c r="T22" s="20"/>
      <c r="U22" s="21"/>
      <c r="V22" s="20"/>
      <c r="W22" s="20"/>
      <c r="X22" s="14"/>
      <c r="Y22" s="14"/>
      <c r="Z22" s="14"/>
    </row>
    <row r="23" spans="1:27" ht="14.25" customHeight="1" x14ac:dyDescent="0.3">
      <c r="A23" s="62"/>
      <c r="B23" s="69"/>
      <c r="C23" s="19" t="s">
        <v>38</v>
      </c>
      <c r="D23" s="13" t="s">
        <v>19</v>
      </c>
      <c r="E23" s="20">
        <v>40</v>
      </c>
      <c r="F23" s="20">
        <v>40</v>
      </c>
      <c r="G23" s="20">
        <v>40</v>
      </c>
      <c r="H23" s="20">
        <v>40</v>
      </c>
      <c r="I23" s="20">
        <v>40</v>
      </c>
      <c r="J23" s="20">
        <v>40</v>
      </c>
      <c r="K23" s="20">
        <v>40</v>
      </c>
      <c r="L23" s="20">
        <v>40</v>
      </c>
      <c r="M23" s="20">
        <v>40</v>
      </c>
      <c r="N23" s="20">
        <v>40</v>
      </c>
      <c r="O23" s="20">
        <v>40</v>
      </c>
      <c r="P23" s="20">
        <v>40</v>
      </c>
      <c r="Q23" s="20">
        <v>40</v>
      </c>
      <c r="R23" s="20">
        <v>40</v>
      </c>
      <c r="S23" s="20">
        <v>40</v>
      </c>
      <c r="T23" s="20">
        <v>20</v>
      </c>
      <c r="U23" s="22">
        <v>0</v>
      </c>
      <c r="V23" s="21"/>
      <c r="W23" s="20"/>
      <c r="X23" s="14"/>
      <c r="Y23" s="14"/>
      <c r="Z23" s="14"/>
    </row>
    <row r="24" spans="1:27" ht="14.25" customHeight="1" x14ac:dyDescent="0.25">
      <c r="A24" s="62"/>
      <c r="B24" s="63"/>
      <c r="C24" s="64"/>
      <c r="D24" s="13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  <c r="V24" s="21"/>
      <c r="W24" s="20"/>
      <c r="X24" s="14"/>
      <c r="Y24" s="14"/>
      <c r="Z24" s="14"/>
    </row>
    <row r="25" spans="1:27" ht="14.25" customHeight="1" x14ac:dyDescent="0.3">
      <c r="A25" s="62"/>
      <c r="B25" s="46" t="s">
        <v>39</v>
      </c>
      <c r="C25" s="19" t="s">
        <v>40</v>
      </c>
      <c r="D25" s="13" t="s">
        <v>19</v>
      </c>
      <c r="E25" s="20">
        <v>40</v>
      </c>
      <c r="F25" s="20">
        <v>40</v>
      </c>
      <c r="G25" s="20">
        <v>40</v>
      </c>
      <c r="H25" s="20">
        <v>40</v>
      </c>
      <c r="I25" s="20">
        <v>40</v>
      </c>
      <c r="J25" s="20">
        <v>40</v>
      </c>
      <c r="K25" s="20">
        <v>40</v>
      </c>
      <c r="L25" s="20">
        <v>40</v>
      </c>
      <c r="M25" s="20">
        <v>40</v>
      </c>
      <c r="N25" s="20">
        <v>40</v>
      </c>
      <c r="O25" s="20">
        <v>40</v>
      </c>
      <c r="P25" s="20">
        <v>40</v>
      </c>
      <c r="Q25" s="20">
        <v>40</v>
      </c>
      <c r="R25" s="20">
        <v>40</v>
      </c>
      <c r="S25" s="20">
        <v>40</v>
      </c>
      <c r="T25" s="20">
        <v>40</v>
      </c>
      <c r="U25" s="21">
        <v>40</v>
      </c>
      <c r="V25" s="21">
        <v>20</v>
      </c>
      <c r="W25" s="22">
        <v>0</v>
      </c>
      <c r="X25" s="14"/>
      <c r="Y25" s="14"/>
      <c r="Z25" s="14"/>
    </row>
    <row r="26" spans="1:27" ht="20.25" customHeight="1" x14ac:dyDescent="0.3">
      <c r="A26" s="62"/>
      <c r="B26" s="63"/>
      <c r="C26" s="64"/>
      <c r="D26" s="24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7" ht="20.25" customHeight="1" x14ac:dyDescent="0.3">
      <c r="A27" s="62"/>
      <c r="B27" s="46" t="s">
        <v>41</v>
      </c>
      <c r="C27" s="23" t="s">
        <v>42</v>
      </c>
      <c r="D27" s="24" t="s">
        <v>19</v>
      </c>
      <c r="E27" s="25">
        <v>60</v>
      </c>
      <c r="F27" s="25">
        <v>60</v>
      </c>
      <c r="G27" s="25">
        <v>60</v>
      </c>
      <c r="H27" s="25">
        <v>60</v>
      </c>
      <c r="I27" s="25">
        <v>60</v>
      </c>
      <c r="J27" s="25">
        <v>60</v>
      </c>
      <c r="K27" s="25">
        <v>60</v>
      </c>
      <c r="L27" s="25">
        <v>60</v>
      </c>
      <c r="M27" s="25">
        <v>60</v>
      </c>
      <c r="N27" s="25">
        <v>60</v>
      </c>
      <c r="O27" s="25">
        <v>60</v>
      </c>
      <c r="P27" s="25">
        <v>60</v>
      </c>
      <c r="Q27" s="25">
        <v>60</v>
      </c>
      <c r="R27" s="25">
        <v>60</v>
      </c>
      <c r="S27" s="25">
        <v>60</v>
      </c>
      <c r="T27" s="25">
        <v>60</v>
      </c>
      <c r="U27" s="25">
        <v>60</v>
      </c>
      <c r="V27" s="25">
        <v>60</v>
      </c>
      <c r="W27" s="25">
        <v>40</v>
      </c>
      <c r="X27" s="25">
        <v>20</v>
      </c>
      <c r="Y27" s="26">
        <v>0</v>
      </c>
      <c r="Z27" s="27"/>
    </row>
    <row r="28" spans="1:27" ht="20.25" customHeight="1" x14ac:dyDescent="0.3">
      <c r="A28" s="62"/>
      <c r="B28" s="63"/>
      <c r="C28" s="64"/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7"/>
      <c r="AA28" s="28"/>
    </row>
    <row r="29" spans="1:27" ht="16.5" customHeight="1" x14ac:dyDescent="0.25">
      <c r="A29" s="62"/>
      <c r="B29" s="67" t="s">
        <v>43</v>
      </c>
      <c r="C29" s="5" t="s">
        <v>44</v>
      </c>
      <c r="D29" s="14" t="s">
        <v>19</v>
      </c>
      <c r="E29" s="14">
        <v>2</v>
      </c>
      <c r="F29" s="14">
        <v>2</v>
      </c>
      <c r="G29" s="14">
        <v>2</v>
      </c>
      <c r="H29" s="14">
        <v>2</v>
      </c>
      <c r="I29" s="14">
        <v>2</v>
      </c>
      <c r="J29" s="14">
        <v>2</v>
      </c>
      <c r="K29" s="14">
        <v>2</v>
      </c>
      <c r="L29" s="14">
        <v>2</v>
      </c>
      <c r="M29" s="14">
        <v>2</v>
      </c>
      <c r="N29" s="14">
        <v>2</v>
      </c>
      <c r="O29" s="14">
        <v>2</v>
      </c>
      <c r="P29" s="14">
        <v>2</v>
      </c>
      <c r="Q29" s="14">
        <v>2</v>
      </c>
      <c r="R29" s="14">
        <v>2</v>
      </c>
      <c r="S29" s="14">
        <v>2</v>
      </c>
      <c r="T29" s="14">
        <v>2</v>
      </c>
      <c r="U29" s="14">
        <v>2</v>
      </c>
      <c r="V29" s="14">
        <v>2</v>
      </c>
      <c r="W29" s="14">
        <v>2</v>
      </c>
      <c r="X29" s="14">
        <v>2</v>
      </c>
      <c r="Y29" s="14">
        <v>2</v>
      </c>
      <c r="Z29" s="15">
        <v>0</v>
      </c>
      <c r="AA29" s="28"/>
    </row>
    <row r="30" spans="1:27" ht="16.5" customHeight="1" x14ac:dyDescent="0.25">
      <c r="A30" s="62"/>
      <c r="B30" s="68"/>
      <c r="C30" s="45" t="s">
        <v>45</v>
      </c>
      <c r="D30" s="14" t="s">
        <v>19</v>
      </c>
      <c r="E30" s="14">
        <v>2</v>
      </c>
      <c r="F30" s="14">
        <v>2</v>
      </c>
      <c r="G30" s="14">
        <v>2</v>
      </c>
      <c r="H30" s="14">
        <v>2</v>
      </c>
      <c r="I30" s="14">
        <v>2</v>
      </c>
      <c r="J30" s="14">
        <v>2</v>
      </c>
      <c r="K30" s="14">
        <v>2</v>
      </c>
      <c r="L30" s="14">
        <v>2</v>
      </c>
      <c r="M30" s="14">
        <v>2</v>
      </c>
      <c r="N30" s="14">
        <v>2</v>
      </c>
      <c r="O30" s="14">
        <v>2</v>
      </c>
      <c r="P30" s="14">
        <v>2</v>
      </c>
      <c r="Q30" s="14">
        <v>2</v>
      </c>
      <c r="R30" s="14">
        <v>2</v>
      </c>
      <c r="S30" s="14">
        <v>2</v>
      </c>
      <c r="T30" s="14">
        <v>2</v>
      </c>
      <c r="U30" s="14">
        <v>2</v>
      </c>
      <c r="V30" s="14">
        <v>2</v>
      </c>
      <c r="W30" s="14">
        <v>2</v>
      </c>
      <c r="X30" s="14">
        <v>2</v>
      </c>
      <c r="Y30" s="14">
        <v>2</v>
      </c>
      <c r="Z30" s="15">
        <v>0</v>
      </c>
      <c r="AA30" s="28"/>
    </row>
    <row r="31" spans="1:27" ht="16.5" customHeight="1" x14ac:dyDescent="0.25">
      <c r="A31" s="62"/>
      <c r="B31" s="65"/>
      <c r="C31" s="66"/>
      <c r="D31" s="44" t="s">
        <v>16</v>
      </c>
      <c r="E31" s="14">
        <f t="shared" ref="E31:F31" si="0">SUM(E11:E30)</f>
        <v>317</v>
      </c>
      <c r="F31" s="14">
        <f t="shared" si="0"/>
        <v>309</v>
      </c>
      <c r="G31" s="14">
        <f t="shared" ref="G31:X31" si="1">SUM(G13:G30)</f>
        <v>294</v>
      </c>
      <c r="H31" s="14">
        <f t="shared" si="1"/>
        <v>279</v>
      </c>
      <c r="I31" s="14">
        <f t="shared" si="1"/>
        <v>269</v>
      </c>
      <c r="J31" s="14">
        <f t="shared" si="1"/>
        <v>259</v>
      </c>
      <c r="K31" s="14">
        <f t="shared" si="1"/>
        <v>249</v>
      </c>
      <c r="L31" s="14">
        <f t="shared" si="1"/>
        <v>239</v>
      </c>
      <c r="M31" s="14">
        <f t="shared" si="1"/>
        <v>229</v>
      </c>
      <c r="N31" s="14">
        <f t="shared" si="1"/>
        <v>214</v>
      </c>
      <c r="O31" s="14">
        <f t="shared" si="1"/>
        <v>199</v>
      </c>
      <c r="P31" s="14">
        <f t="shared" si="1"/>
        <v>184</v>
      </c>
      <c r="Q31" s="14">
        <f t="shared" si="1"/>
        <v>164</v>
      </c>
      <c r="R31" s="14">
        <f t="shared" si="1"/>
        <v>154</v>
      </c>
      <c r="S31" s="14">
        <f t="shared" si="1"/>
        <v>144</v>
      </c>
      <c r="T31" s="14">
        <f t="shared" si="1"/>
        <v>124</v>
      </c>
      <c r="U31" s="14">
        <f t="shared" si="1"/>
        <v>104</v>
      </c>
      <c r="V31" s="14">
        <f t="shared" si="1"/>
        <v>84</v>
      </c>
      <c r="W31" s="14">
        <f t="shared" si="1"/>
        <v>44</v>
      </c>
      <c r="X31" s="14">
        <f t="shared" si="1"/>
        <v>24</v>
      </c>
      <c r="Y31" s="14">
        <f>SUM(Y14:Y30)</f>
        <v>4</v>
      </c>
      <c r="Z31" s="14">
        <f>SUM(Z11:Z27)</f>
        <v>0</v>
      </c>
    </row>
    <row r="32" spans="1:27" ht="16.5" customHeight="1" x14ac:dyDescent="0.25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"/>
    </row>
    <row r="33" spans="1:27" ht="16.5" customHeight="1" x14ac:dyDescent="0.25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</row>
    <row r="34" spans="1:27" ht="16.5" customHeight="1" x14ac:dyDescent="0.25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</row>
    <row r="35" spans="1:27" ht="16.5" customHeight="1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ht="16.5" customHeight="1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6.5" customHeight="1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6.5" customHeight="1" x14ac:dyDescent="0.25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6.5" customHeight="1" x14ac:dyDescent="0.25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6.5" customHeight="1" x14ac:dyDescent="0.25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6.5" customHeight="1" x14ac:dyDescent="0.25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6.5" customHeight="1" x14ac:dyDescent="0.25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6.5" customHeight="1" x14ac:dyDescent="0.2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6.5" customHeight="1" x14ac:dyDescent="0.25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6.5" customHeight="1" x14ac:dyDescent="0.2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6.5" customHeight="1" x14ac:dyDescent="0.25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6.5" customHeight="1" x14ac:dyDescent="0.2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6.5" customHeight="1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6.5" customHeight="1" x14ac:dyDescent="0.25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6.5" customHeight="1" x14ac:dyDescent="0.25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6.5" customHeight="1" x14ac:dyDescent="0.2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6.5" customHeight="1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1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1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1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7">
    <mergeCell ref="A1:AA2"/>
    <mergeCell ref="B3:D3"/>
    <mergeCell ref="D5:D8"/>
    <mergeCell ref="N5:O5"/>
    <mergeCell ref="N6:O6"/>
    <mergeCell ref="N7:O7"/>
    <mergeCell ref="N8:O8"/>
    <mergeCell ref="A11:A31"/>
    <mergeCell ref="B15:C15"/>
    <mergeCell ref="B17:C17"/>
    <mergeCell ref="B24:C24"/>
    <mergeCell ref="B26:C26"/>
    <mergeCell ref="B28:C28"/>
    <mergeCell ref="B31:C31"/>
    <mergeCell ref="B11:B14"/>
    <mergeCell ref="B18:B23"/>
    <mergeCell ref="B29:B30"/>
  </mergeCells>
  <pageMargins left="0.7" right="0.7" top="0.75" bottom="0.75" header="0" footer="0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99"/>
  <sheetViews>
    <sheetView workbookViewId="0">
      <selection activeCell="G6" sqref="G6"/>
    </sheetView>
  </sheetViews>
  <sheetFormatPr defaultColWidth="12.59765625" defaultRowHeight="15" customHeight="1" x14ac:dyDescent="0.25"/>
  <cols>
    <col min="1" max="1" width="7" customWidth="1"/>
    <col min="2" max="2" width="25.59765625" customWidth="1"/>
    <col min="3" max="3" width="35.69921875" customWidth="1"/>
    <col min="4" max="4" width="12.59765625" customWidth="1"/>
    <col min="5" max="5" width="6.5" customWidth="1"/>
    <col min="6" max="6" width="7.69921875" customWidth="1"/>
    <col min="7" max="7" width="4.5" customWidth="1"/>
    <col min="8" max="8" width="4.8984375" customWidth="1"/>
    <col min="9" max="9" width="5.69921875" customWidth="1"/>
    <col min="10" max="10" width="4.69921875" customWidth="1"/>
    <col min="11" max="11" width="5.3984375" customWidth="1"/>
    <col min="12" max="12" width="4.3984375" customWidth="1"/>
    <col min="13" max="13" width="4.296875" customWidth="1"/>
    <col min="14" max="15" width="4.5" customWidth="1"/>
    <col min="16" max="16" width="4.09765625" customWidth="1"/>
    <col min="17" max="17" width="4.5" customWidth="1"/>
    <col min="18" max="18" width="4.09765625" customWidth="1"/>
    <col min="19" max="19" width="4.5" customWidth="1"/>
    <col min="20" max="20" width="4" customWidth="1"/>
    <col min="21" max="21" width="3" customWidth="1"/>
    <col min="22" max="27" width="4.09765625" customWidth="1"/>
  </cols>
  <sheetData>
    <row r="1" spans="1:27" ht="22.5" customHeight="1" x14ac:dyDescent="0.25">
      <c r="A1" s="70" t="s">
        <v>46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1:27" ht="15" customHeight="1" x14ac:dyDescent="0.2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6.5" customHeight="1" x14ac:dyDescent="0.25">
      <c r="A3" s="1"/>
      <c r="B3" s="72" t="s">
        <v>1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5" customHeight="1" x14ac:dyDescent="0.3">
      <c r="A5" s="1"/>
      <c r="B5" s="5" t="s">
        <v>4</v>
      </c>
      <c r="C5" s="6">
        <f>SUMIF($D$11:$D$41,"All member",$F$11:$F$41)/4+SUMIF($D$11:$D$41,"Huy",F11:F41)+SUMIF($D$11:$D$41,"Huy, Hong",F11:F41)/2+SUMIF($D$11:$D$41,"Kha, Huy",F11:F41)/2+SUMIF($D$11:$D$41,"Huy, Xuan",F11:F41)/2</f>
        <v>91</v>
      </c>
      <c r="D5" s="73">
        <f>SUM(C5:C8)</f>
        <v>349</v>
      </c>
      <c r="E5" s="2"/>
      <c r="F5" s="2"/>
      <c r="G5" s="2"/>
      <c r="H5" s="2"/>
      <c r="I5" s="2"/>
      <c r="J5" s="2"/>
      <c r="K5" s="2"/>
      <c r="L5" s="2"/>
      <c r="M5" s="2"/>
      <c r="N5" s="2"/>
      <c r="O5" s="7"/>
      <c r="P5" s="76" t="s">
        <v>5</v>
      </c>
      <c r="Q5" s="77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 customHeight="1" x14ac:dyDescent="0.3">
      <c r="A6" s="1"/>
      <c r="B6" s="5" t="s">
        <v>6</v>
      </c>
      <c r="C6" s="6">
        <f>SUMIF($D$11:$D$41,"All member",$F$11:$F$41)/4+SUMIF($D$11:$D$41,"Kha",F11:F41)+SUMIF($D$11:$D$41,"Kha, Xuan",F11:F41)/2</f>
        <v>89</v>
      </c>
      <c r="D6" s="74"/>
      <c r="E6" s="2"/>
      <c r="F6" s="2"/>
      <c r="G6" s="2"/>
      <c r="H6" s="2"/>
      <c r="I6" s="2"/>
      <c r="J6" s="2"/>
      <c r="K6" s="2"/>
      <c r="L6" s="2"/>
      <c r="M6" s="2"/>
      <c r="N6" s="2"/>
      <c r="O6" s="8"/>
      <c r="P6" s="76" t="s">
        <v>7</v>
      </c>
      <c r="Q6" s="77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 customHeight="1" x14ac:dyDescent="0.3">
      <c r="A7" s="1"/>
      <c r="B7" s="5" t="s">
        <v>8</v>
      </c>
      <c r="C7" s="6">
        <f>SUMIF($D$11:$D$41,"All member",$F$11:$F$41)/4+SUMIF($D$11:$D$41,"Xuan",F11:F41)+SUMIF($D$11:$D$41,"Kha, Xuan",F11:F41)/2+SUMIF($D$11:$D$41,"Huy, Xuan",F11:F41)/2</f>
        <v>86</v>
      </c>
      <c r="D7" s="74"/>
      <c r="E7" s="2"/>
      <c r="F7" s="2"/>
      <c r="G7" s="2"/>
      <c r="H7" s="2"/>
      <c r="I7" s="2"/>
      <c r="J7" s="2"/>
      <c r="K7" s="2"/>
      <c r="L7" s="2"/>
      <c r="M7" s="2"/>
      <c r="N7" s="2"/>
      <c r="O7" s="9"/>
      <c r="P7" s="78" t="s">
        <v>9</v>
      </c>
      <c r="Q7" s="77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 customHeight="1" x14ac:dyDescent="0.3">
      <c r="A8" s="1"/>
      <c r="B8" s="5" t="s">
        <v>10</v>
      </c>
      <c r="C8" s="6">
        <f>SUMIF($D$11:$D$41,"All member",$F$11:$F$41)/4+SUMIF($D$11:$D$41,"Hong",F11:F41)+SUMIF($D$11:$D$41,"Huy, Hong",F11:F41)/2</f>
        <v>83</v>
      </c>
      <c r="D8" s="75"/>
      <c r="E8" s="2"/>
      <c r="F8" s="2"/>
      <c r="G8" s="2"/>
      <c r="H8" s="2"/>
      <c r="I8" s="2"/>
      <c r="J8" s="2"/>
      <c r="K8" s="2"/>
      <c r="L8" s="2"/>
      <c r="M8" s="2"/>
      <c r="N8" s="2"/>
      <c r="O8" s="10"/>
      <c r="P8" s="79" t="s">
        <v>11</v>
      </c>
      <c r="Q8" s="77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9" customHeight="1" x14ac:dyDescent="0.25">
      <c r="A10" s="48" t="s">
        <v>12</v>
      </c>
      <c r="B10" s="55" t="s">
        <v>13</v>
      </c>
      <c r="C10" s="55" t="s">
        <v>14</v>
      </c>
      <c r="D10" s="3" t="s">
        <v>15</v>
      </c>
      <c r="E10" s="3" t="s">
        <v>16</v>
      </c>
      <c r="F10" s="3" t="s">
        <v>47</v>
      </c>
      <c r="G10" s="11">
        <v>44480</v>
      </c>
      <c r="H10" s="11">
        <v>44481</v>
      </c>
      <c r="I10" s="11">
        <v>44482</v>
      </c>
      <c r="J10" s="11">
        <v>44483</v>
      </c>
      <c r="K10" s="11">
        <v>44484</v>
      </c>
      <c r="L10" s="11">
        <v>44485</v>
      </c>
      <c r="M10" s="11">
        <v>44486</v>
      </c>
      <c r="N10" s="11">
        <v>44487</v>
      </c>
      <c r="O10" s="11">
        <v>44488</v>
      </c>
      <c r="P10" s="11">
        <v>44489</v>
      </c>
      <c r="Q10" s="11">
        <v>44490</v>
      </c>
      <c r="R10" s="11">
        <v>44491</v>
      </c>
      <c r="S10" s="11">
        <v>44492</v>
      </c>
      <c r="T10" s="11">
        <v>44493</v>
      </c>
      <c r="U10" s="11">
        <v>44494</v>
      </c>
      <c r="V10" s="11">
        <v>44495</v>
      </c>
      <c r="W10" s="11">
        <v>44496</v>
      </c>
      <c r="X10" s="11">
        <v>44497</v>
      </c>
      <c r="Y10" s="11">
        <v>44498</v>
      </c>
      <c r="Z10" s="11">
        <v>44499</v>
      </c>
      <c r="AA10" s="11">
        <v>44500</v>
      </c>
    </row>
    <row r="11" spans="1:27" ht="16.8" x14ac:dyDescent="0.25">
      <c r="A11" s="62">
        <v>2</v>
      </c>
      <c r="B11" s="62" t="s">
        <v>17</v>
      </c>
      <c r="C11" s="56" t="s">
        <v>18</v>
      </c>
      <c r="D11" s="52" t="s">
        <v>19</v>
      </c>
      <c r="E11" s="14">
        <v>8</v>
      </c>
      <c r="F11" s="16">
        <v>8</v>
      </c>
      <c r="G11" s="15"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6.8" x14ac:dyDescent="0.25">
      <c r="A12" s="62"/>
      <c r="B12" s="80"/>
      <c r="C12" s="56"/>
      <c r="D12" s="52"/>
      <c r="E12" s="1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3.6" x14ac:dyDescent="0.25">
      <c r="A13" s="62"/>
      <c r="B13" s="80"/>
      <c r="C13" s="56" t="s">
        <v>20</v>
      </c>
      <c r="D13" s="52" t="s">
        <v>21</v>
      </c>
      <c r="E13" s="14">
        <v>10</v>
      </c>
      <c r="F13" s="15">
        <v>10</v>
      </c>
      <c r="G13" s="16">
        <v>10</v>
      </c>
      <c r="H13" s="16">
        <v>5</v>
      </c>
      <c r="I13" s="15">
        <v>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6.8" x14ac:dyDescent="0.25">
      <c r="A14" s="62"/>
      <c r="B14" s="80"/>
      <c r="C14" s="56"/>
      <c r="D14" s="52"/>
      <c r="E14" s="1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6.8" x14ac:dyDescent="0.25">
      <c r="A15" s="62"/>
      <c r="B15" s="80"/>
      <c r="C15" s="56" t="s">
        <v>22</v>
      </c>
      <c r="D15" s="52" t="s">
        <v>23</v>
      </c>
      <c r="E15" s="14">
        <v>10</v>
      </c>
      <c r="F15" s="29">
        <v>14</v>
      </c>
      <c r="G15" s="16">
        <v>10</v>
      </c>
      <c r="H15" s="16">
        <v>5</v>
      </c>
      <c r="I15" s="15">
        <v>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6.8" x14ac:dyDescent="0.25">
      <c r="A16" s="62"/>
      <c r="B16" s="80"/>
      <c r="C16" s="56"/>
      <c r="D16" s="52"/>
      <c r="E16" s="14"/>
      <c r="F16" s="18"/>
      <c r="G16" s="18"/>
      <c r="H16" s="18"/>
      <c r="I16" s="29">
        <v>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6.8" x14ac:dyDescent="0.25">
      <c r="A17" s="62"/>
      <c r="B17" s="80"/>
      <c r="C17" s="56" t="s">
        <v>48</v>
      </c>
      <c r="D17" s="52" t="s">
        <v>25</v>
      </c>
      <c r="E17" s="14">
        <v>20</v>
      </c>
      <c r="F17" s="30">
        <v>16</v>
      </c>
      <c r="G17" s="18">
        <v>20</v>
      </c>
      <c r="H17" s="18">
        <v>20</v>
      </c>
      <c r="I17" s="16">
        <v>20</v>
      </c>
      <c r="J17" s="15">
        <v>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6.8" x14ac:dyDescent="0.25">
      <c r="A18" s="62"/>
      <c r="B18" s="80"/>
      <c r="C18" s="57"/>
      <c r="D18" s="52"/>
      <c r="E18" s="18"/>
      <c r="F18" s="18"/>
      <c r="G18" s="18"/>
      <c r="H18" s="18"/>
      <c r="I18" s="16"/>
      <c r="J18" s="31">
        <v>-4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6.8" x14ac:dyDescent="0.25">
      <c r="A19" s="62"/>
      <c r="B19" s="62"/>
      <c r="C19" s="62"/>
      <c r="D19" s="52"/>
      <c r="E19" s="18"/>
      <c r="F19" s="18"/>
      <c r="G19" s="18"/>
      <c r="H19" s="18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6.8" x14ac:dyDescent="0.25">
      <c r="A20" s="62"/>
      <c r="B20" s="62" t="s">
        <v>26</v>
      </c>
      <c r="C20" s="57" t="s">
        <v>27</v>
      </c>
      <c r="D20" s="52" t="s">
        <v>28</v>
      </c>
      <c r="E20" s="18">
        <v>20</v>
      </c>
      <c r="F20" s="30">
        <v>16</v>
      </c>
      <c r="G20" s="18">
        <v>20</v>
      </c>
      <c r="H20" s="18">
        <v>14</v>
      </c>
      <c r="I20" s="16">
        <v>10</v>
      </c>
      <c r="J20" s="16">
        <v>6</v>
      </c>
      <c r="K20" s="15">
        <v>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3">
      <c r="A21" s="62"/>
      <c r="B21" s="80"/>
      <c r="C21" s="58"/>
      <c r="D21" s="52"/>
      <c r="E21" s="18"/>
      <c r="F21" s="18"/>
      <c r="G21" s="18"/>
      <c r="H21" s="18"/>
      <c r="I21" s="16"/>
      <c r="J21" s="16"/>
      <c r="K21" s="31">
        <v>-4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25">
      <c r="A22" s="62"/>
      <c r="B22" s="62"/>
      <c r="C22" s="62"/>
      <c r="D22" s="52"/>
      <c r="E22" s="18"/>
      <c r="F22" s="18"/>
      <c r="G22" s="18"/>
      <c r="H22" s="18"/>
      <c r="I22" s="18"/>
      <c r="J22" s="18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4"/>
    </row>
    <row r="23" spans="1:27" ht="15.75" customHeight="1" x14ac:dyDescent="0.3">
      <c r="A23" s="62"/>
      <c r="B23" s="62" t="s">
        <v>29</v>
      </c>
      <c r="C23" s="59" t="s">
        <v>30</v>
      </c>
      <c r="D23" s="52" t="s">
        <v>31</v>
      </c>
      <c r="E23" s="13">
        <v>20</v>
      </c>
      <c r="F23" s="32">
        <v>26</v>
      </c>
      <c r="G23" s="18">
        <v>20</v>
      </c>
      <c r="H23" s="18">
        <v>20</v>
      </c>
      <c r="I23" s="18">
        <v>20</v>
      </c>
      <c r="J23" s="18">
        <v>20</v>
      </c>
      <c r="K23" s="16">
        <v>14</v>
      </c>
      <c r="L23" s="16">
        <v>8</v>
      </c>
      <c r="M23" s="16">
        <v>2</v>
      </c>
      <c r="N23" s="15">
        <v>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4"/>
    </row>
    <row r="24" spans="1:27" ht="15.75" customHeight="1" x14ac:dyDescent="0.3">
      <c r="A24" s="62"/>
      <c r="B24" s="80"/>
      <c r="C24" s="59"/>
      <c r="D24" s="52"/>
      <c r="E24" s="20"/>
      <c r="F24" s="18"/>
      <c r="G24" s="18"/>
      <c r="H24" s="18"/>
      <c r="I24" s="18"/>
      <c r="J24" s="18"/>
      <c r="K24" s="18"/>
      <c r="L24" s="16"/>
      <c r="M24" s="16"/>
      <c r="N24" s="29">
        <v>6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4"/>
    </row>
    <row r="25" spans="1:27" ht="15.75" customHeight="1" x14ac:dyDescent="0.3">
      <c r="A25" s="62"/>
      <c r="B25" s="80"/>
      <c r="C25" s="59" t="s">
        <v>49</v>
      </c>
      <c r="D25" s="52" t="s">
        <v>21</v>
      </c>
      <c r="E25" s="20">
        <v>20</v>
      </c>
      <c r="F25" s="32">
        <v>24</v>
      </c>
      <c r="G25" s="18">
        <v>20</v>
      </c>
      <c r="H25" s="18">
        <v>20</v>
      </c>
      <c r="I25" s="18">
        <v>20</v>
      </c>
      <c r="J25" s="18">
        <v>20</v>
      </c>
      <c r="K25" s="18">
        <v>20</v>
      </c>
      <c r="L25" s="16">
        <v>20</v>
      </c>
      <c r="M25" s="16">
        <v>20</v>
      </c>
      <c r="N25" s="16">
        <v>15</v>
      </c>
      <c r="O25" s="16">
        <v>11</v>
      </c>
      <c r="P25" s="16">
        <v>6</v>
      </c>
      <c r="Q25" s="16">
        <v>1</v>
      </c>
      <c r="R25" s="15">
        <v>0</v>
      </c>
      <c r="S25" s="16"/>
      <c r="T25" s="16"/>
      <c r="U25" s="16"/>
      <c r="V25" s="16"/>
      <c r="W25" s="16"/>
      <c r="X25" s="16"/>
      <c r="Y25" s="16"/>
      <c r="Z25" s="16"/>
      <c r="AA25" s="14"/>
    </row>
    <row r="26" spans="1:27" ht="15.75" customHeight="1" x14ac:dyDescent="0.3">
      <c r="A26" s="62"/>
      <c r="B26" s="80"/>
      <c r="C26" s="59"/>
      <c r="D26" s="52"/>
      <c r="E26" s="20"/>
      <c r="F26" s="18"/>
      <c r="G26" s="18"/>
      <c r="H26" s="18"/>
      <c r="I26" s="18"/>
      <c r="J26" s="18"/>
      <c r="K26" s="18"/>
      <c r="L26" s="16"/>
      <c r="M26" s="16"/>
      <c r="N26" s="16"/>
      <c r="O26" s="16"/>
      <c r="P26" s="16"/>
      <c r="Q26" s="16"/>
      <c r="R26" s="29">
        <v>4</v>
      </c>
      <c r="S26" s="16"/>
      <c r="T26" s="16"/>
      <c r="U26" s="16"/>
      <c r="V26" s="16"/>
      <c r="W26" s="16"/>
      <c r="X26" s="16"/>
      <c r="Y26" s="16"/>
      <c r="Z26" s="16"/>
      <c r="AA26" s="14"/>
    </row>
    <row r="27" spans="1:27" ht="15.75" customHeight="1" x14ac:dyDescent="0.3">
      <c r="A27" s="62"/>
      <c r="B27" s="80"/>
      <c r="C27" s="59" t="s">
        <v>33</v>
      </c>
      <c r="D27" s="52" t="s">
        <v>34</v>
      </c>
      <c r="E27" s="20">
        <v>20</v>
      </c>
      <c r="F27" s="32">
        <v>24</v>
      </c>
      <c r="G27" s="18">
        <v>20</v>
      </c>
      <c r="H27" s="18">
        <v>20</v>
      </c>
      <c r="I27" s="18">
        <v>20</v>
      </c>
      <c r="J27" s="18">
        <v>20</v>
      </c>
      <c r="K27" s="18">
        <v>20</v>
      </c>
      <c r="L27" s="16">
        <v>20</v>
      </c>
      <c r="M27" s="16">
        <v>20</v>
      </c>
      <c r="N27" s="16">
        <v>20</v>
      </c>
      <c r="O27" s="16">
        <v>15</v>
      </c>
      <c r="P27" s="16">
        <v>10</v>
      </c>
      <c r="Q27" s="16">
        <v>5</v>
      </c>
      <c r="R27" s="15">
        <v>0</v>
      </c>
      <c r="S27" s="16"/>
      <c r="T27" s="16"/>
      <c r="U27" s="16"/>
      <c r="V27" s="16"/>
      <c r="W27" s="16"/>
      <c r="X27" s="16"/>
      <c r="Y27" s="16"/>
      <c r="Z27" s="16"/>
      <c r="AA27" s="14"/>
    </row>
    <row r="28" spans="1:27" ht="15.75" customHeight="1" x14ac:dyDescent="0.3">
      <c r="A28" s="62"/>
      <c r="B28" s="80"/>
      <c r="C28" s="59"/>
      <c r="D28" s="52"/>
      <c r="E28" s="20"/>
      <c r="F28" s="18"/>
      <c r="G28" s="18"/>
      <c r="H28" s="18"/>
      <c r="I28" s="18"/>
      <c r="J28" s="18"/>
      <c r="K28" s="18"/>
      <c r="L28" s="16"/>
      <c r="M28" s="16"/>
      <c r="N28" s="16"/>
      <c r="O28" s="16"/>
      <c r="P28" s="16"/>
      <c r="Q28" s="16"/>
      <c r="R28" s="29">
        <v>4</v>
      </c>
      <c r="S28" s="16"/>
      <c r="T28" s="16"/>
      <c r="U28" s="16"/>
      <c r="V28" s="16"/>
      <c r="W28" s="16"/>
      <c r="X28" s="16"/>
      <c r="Y28" s="16"/>
      <c r="Z28" s="16"/>
      <c r="AA28" s="14"/>
    </row>
    <row r="29" spans="1:27" ht="15.75" customHeight="1" x14ac:dyDescent="0.3">
      <c r="A29" s="62"/>
      <c r="B29" s="80"/>
      <c r="C29" s="59" t="s">
        <v>35</v>
      </c>
      <c r="D29" s="52" t="s">
        <v>36</v>
      </c>
      <c r="E29" s="20">
        <v>30</v>
      </c>
      <c r="F29" s="32">
        <v>35</v>
      </c>
      <c r="G29" s="18">
        <v>30</v>
      </c>
      <c r="H29" s="18">
        <v>30</v>
      </c>
      <c r="I29" s="18">
        <v>30</v>
      </c>
      <c r="J29" s="18">
        <v>30</v>
      </c>
      <c r="K29" s="18">
        <v>30</v>
      </c>
      <c r="L29" s="16">
        <v>30</v>
      </c>
      <c r="M29" s="16">
        <v>30</v>
      </c>
      <c r="N29" s="16">
        <v>25</v>
      </c>
      <c r="O29" s="16">
        <v>20</v>
      </c>
      <c r="P29" s="16">
        <v>15</v>
      </c>
      <c r="Q29" s="16">
        <v>12</v>
      </c>
      <c r="R29" s="16">
        <v>7</v>
      </c>
      <c r="S29" s="16">
        <v>5</v>
      </c>
      <c r="T29" s="15">
        <v>0</v>
      </c>
      <c r="U29" s="16"/>
      <c r="V29" s="16"/>
      <c r="W29" s="16"/>
      <c r="X29" s="16"/>
      <c r="Y29" s="16"/>
      <c r="Z29" s="16"/>
      <c r="AA29" s="14"/>
    </row>
    <row r="30" spans="1:27" ht="15.75" customHeight="1" x14ac:dyDescent="0.3">
      <c r="A30" s="62"/>
      <c r="B30" s="80"/>
      <c r="C30" s="59"/>
      <c r="D30" s="52"/>
      <c r="E30" s="20"/>
      <c r="F30" s="18"/>
      <c r="G30" s="18"/>
      <c r="H30" s="18"/>
      <c r="I30" s="18"/>
      <c r="J30" s="18"/>
      <c r="K30" s="18"/>
      <c r="L30" s="16"/>
      <c r="M30" s="16"/>
      <c r="N30" s="16"/>
      <c r="O30" s="16"/>
      <c r="P30" s="16"/>
      <c r="Q30" s="16"/>
      <c r="R30" s="16"/>
      <c r="S30" s="16"/>
      <c r="T30" s="29">
        <v>5</v>
      </c>
      <c r="U30" s="16"/>
      <c r="V30" s="16"/>
      <c r="W30" s="16"/>
      <c r="X30" s="16"/>
      <c r="Y30" s="16"/>
      <c r="Z30" s="16"/>
      <c r="AA30" s="14"/>
    </row>
    <row r="31" spans="1:27" ht="15.75" customHeight="1" x14ac:dyDescent="0.3">
      <c r="A31" s="62"/>
      <c r="B31" s="80"/>
      <c r="C31" s="59" t="s">
        <v>37</v>
      </c>
      <c r="D31" s="52" t="s">
        <v>23</v>
      </c>
      <c r="E31" s="20">
        <v>15</v>
      </c>
      <c r="F31" s="32">
        <v>20</v>
      </c>
      <c r="G31" s="18">
        <v>15</v>
      </c>
      <c r="H31" s="18">
        <v>15</v>
      </c>
      <c r="I31" s="18">
        <v>15</v>
      </c>
      <c r="J31" s="18">
        <v>15</v>
      </c>
      <c r="K31" s="18">
        <v>15</v>
      </c>
      <c r="L31" s="16">
        <v>15</v>
      </c>
      <c r="M31" s="16">
        <v>15</v>
      </c>
      <c r="N31" s="16">
        <v>15</v>
      </c>
      <c r="O31" s="16">
        <v>15</v>
      </c>
      <c r="P31" s="16">
        <v>15</v>
      </c>
      <c r="Q31" s="16">
        <v>12</v>
      </c>
      <c r="R31" s="16">
        <v>9</v>
      </c>
      <c r="S31" s="16">
        <v>5</v>
      </c>
      <c r="T31" s="15">
        <v>0</v>
      </c>
      <c r="U31" s="16"/>
      <c r="V31" s="16"/>
      <c r="W31" s="16"/>
      <c r="X31" s="16"/>
      <c r="Y31" s="16"/>
      <c r="Z31" s="16"/>
      <c r="AA31" s="14"/>
    </row>
    <row r="32" spans="1:27" ht="15.75" customHeight="1" x14ac:dyDescent="0.3">
      <c r="A32" s="62"/>
      <c r="B32" s="80"/>
      <c r="C32" s="59"/>
      <c r="D32" s="52"/>
      <c r="E32" s="20"/>
      <c r="F32" s="18"/>
      <c r="G32" s="18"/>
      <c r="H32" s="18"/>
      <c r="I32" s="18"/>
      <c r="J32" s="18"/>
      <c r="K32" s="18"/>
      <c r="L32" s="16"/>
      <c r="M32" s="16"/>
      <c r="N32" s="16"/>
      <c r="O32" s="16"/>
      <c r="P32" s="16"/>
      <c r="Q32" s="16"/>
      <c r="R32" s="16"/>
      <c r="S32" s="16"/>
      <c r="T32" s="29">
        <v>5</v>
      </c>
      <c r="U32" s="16"/>
      <c r="V32" s="16"/>
      <c r="W32" s="16"/>
      <c r="X32" s="16"/>
      <c r="Y32" s="16"/>
      <c r="Z32" s="16"/>
      <c r="AA32" s="14"/>
    </row>
    <row r="33" spans="1:27" ht="15.75" customHeight="1" x14ac:dyDescent="0.3">
      <c r="A33" s="62"/>
      <c r="B33" s="80"/>
      <c r="C33" s="59" t="s">
        <v>38</v>
      </c>
      <c r="D33" s="52" t="s">
        <v>19</v>
      </c>
      <c r="E33" s="20">
        <v>40</v>
      </c>
      <c r="F33" s="32">
        <v>52</v>
      </c>
      <c r="G33" s="18">
        <v>40</v>
      </c>
      <c r="H33" s="18">
        <v>40</v>
      </c>
      <c r="I33" s="18">
        <v>40</v>
      </c>
      <c r="J33" s="18">
        <v>40</v>
      </c>
      <c r="K33" s="18">
        <v>40</v>
      </c>
      <c r="L33" s="16">
        <v>40</v>
      </c>
      <c r="M33" s="16">
        <v>40</v>
      </c>
      <c r="N33" s="16">
        <v>40</v>
      </c>
      <c r="O33" s="16">
        <v>40</v>
      </c>
      <c r="P33" s="16">
        <v>40</v>
      </c>
      <c r="Q33" s="16">
        <v>40</v>
      </c>
      <c r="R33" s="16">
        <v>40</v>
      </c>
      <c r="S33" s="16">
        <v>40</v>
      </c>
      <c r="T33" s="16">
        <v>30</v>
      </c>
      <c r="U33" s="16">
        <v>10</v>
      </c>
      <c r="V33" s="15">
        <v>0</v>
      </c>
      <c r="W33" s="16"/>
      <c r="X33" s="16"/>
      <c r="Y33" s="16"/>
      <c r="Z33" s="16"/>
      <c r="AA33" s="14"/>
    </row>
    <row r="34" spans="1:27" ht="15.75" customHeight="1" x14ac:dyDescent="0.3">
      <c r="A34" s="62"/>
      <c r="B34" s="80"/>
      <c r="C34" s="58"/>
      <c r="D34" s="52"/>
      <c r="E34" s="21"/>
      <c r="F34" s="18"/>
      <c r="G34" s="18"/>
      <c r="H34" s="18"/>
      <c r="I34" s="18"/>
      <c r="J34" s="18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29">
        <v>12</v>
      </c>
      <c r="W34" s="16"/>
      <c r="X34" s="16"/>
      <c r="Y34" s="16"/>
      <c r="Z34" s="16"/>
      <c r="AA34" s="14"/>
    </row>
    <row r="35" spans="1:27" ht="15.75" customHeight="1" x14ac:dyDescent="0.25">
      <c r="A35" s="62"/>
      <c r="B35" s="62"/>
      <c r="C35" s="62"/>
      <c r="D35" s="53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6"/>
      <c r="Z35" s="16"/>
      <c r="AA35" s="16"/>
    </row>
    <row r="36" spans="1:27" ht="15.75" customHeight="1" x14ac:dyDescent="0.3">
      <c r="A36" s="62"/>
      <c r="B36" s="49" t="s">
        <v>39</v>
      </c>
      <c r="C36" s="58" t="s">
        <v>40</v>
      </c>
      <c r="D36" s="52" t="s">
        <v>19</v>
      </c>
      <c r="E36" s="21">
        <v>40</v>
      </c>
      <c r="F36" s="22">
        <v>40</v>
      </c>
      <c r="G36" s="21">
        <v>40</v>
      </c>
      <c r="H36" s="21">
        <v>40</v>
      </c>
      <c r="I36" s="21">
        <v>40</v>
      </c>
      <c r="J36" s="21">
        <v>40</v>
      </c>
      <c r="K36" s="21">
        <v>40</v>
      </c>
      <c r="L36" s="21">
        <v>40</v>
      </c>
      <c r="M36" s="21">
        <v>40</v>
      </c>
      <c r="N36" s="21">
        <v>40</v>
      </c>
      <c r="O36" s="21">
        <v>40</v>
      </c>
      <c r="P36" s="21">
        <v>20</v>
      </c>
      <c r="Q36" s="21">
        <v>20</v>
      </c>
      <c r="R36" s="21">
        <v>20</v>
      </c>
      <c r="S36" s="21">
        <v>20</v>
      </c>
      <c r="T36" s="21">
        <v>20</v>
      </c>
      <c r="U36" s="21">
        <v>20</v>
      </c>
      <c r="V36" s="21">
        <v>20</v>
      </c>
      <c r="W36" s="21">
        <v>20</v>
      </c>
      <c r="X36" s="22">
        <v>0</v>
      </c>
      <c r="Y36" s="21"/>
      <c r="Z36" s="16"/>
      <c r="AA36" s="16"/>
    </row>
    <row r="37" spans="1:27" ht="15.75" customHeight="1" x14ac:dyDescent="0.25">
      <c r="A37" s="62"/>
      <c r="B37" s="62"/>
      <c r="C37" s="62"/>
      <c r="D37" s="5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16"/>
      <c r="AA37" s="16"/>
    </row>
    <row r="38" spans="1:27" ht="19.5" customHeight="1" x14ac:dyDescent="0.3">
      <c r="A38" s="62"/>
      <c r="B38" s="49" t="s">
        <v>41</v>
      </c>
      <c r="C38" s="60" t="s">
        <v>42</v>
      </c>
      <c r="D38" s="54" t="s">
        <v>19</v>
      </c>
      <c r="E38" s="27">
        <v>60</v>
      </c>
      <c r="F38" s="26">
        <v>60</v>
      </c>
      <c r="G38" s="27">
        <v>60</v>
      </c>
      <c r="H38" s="27">
        <v>60</v>
      </c>
      <c r="I38" s="27">
        <v>60</v>
      </c>
      <c r="J38" s="27">
        <v>60</v>
      </c>
      <c r="K38" s="27">
        <v>60</v>
      </c>
      <c r="L38" s="27">
        <v>60</v>
      </c>
      <c r="M38" s="27">
        <v>60</v>
      </c>
      <c r="N38" s="27">
        <v>60</v>
      </c>
      <c r="O38" s="27">
        <v>60</v>
      </c>
      <c r="P38" s="27">
        <v>60</v>
      </c>
      <c r="Q38" s="27">
        <v>60</v>
      </c>
      <c r="R38" s="27">
        <v>60</v>
      </c>
      <c r="S38" s="27">
        <v>60</v>
      </c>
      <c r="T38" s="27">
        <v>60</v>
      </c>
      <c r="U38" s="27">
        <v>60</v>
      </c>
      <c r="V38" s="27">
        <v>60</v>
      </c>
      <c r="W38" s="27">
        <v>60</v>
      </c>
      <c r="X38" s="27">
        <v>40</v>
      </c>
      <c r="Y38" s="27">
        <v>20</v>
      </c>
      <c r="Z38" s="33">
        <v>0</v>
      </c>
      <c r="AA38" s="34"/>
    </row>
    <row r="39" spans="1:27" ht="19.5" customHeight="1" x14ac:dyDescent="0.3">
      <c r="A39" s="62"/>
      <c r="B39" s="62"/>
      <c r="C39" s="62"/>
      <c r="D39" s="54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35"/>
      <c r="Z39" s="27"/>
      <c r="AA39" s="27"/>
    </row>
    <row r="40" spans="1:27" ht="16.5" customHeight="1" x14ac:dyDescent="0.25">
      <c r="A40" s="62"/>
      <c r="B40" s="62" t="s">
        <v>43</v>
      </c>
      <c r="C40" s="61" t="s">
        <v>44</v>
      </c>
      <c r="D40" s="47" t="s">
        <v>19</v>
      </c>
      <c r="E40" s="14">
        <v>2</v>
      </c>
      <c r="F40" s="15">
        <v>2</v>
      </c>
      <c r="G40" s="14">
        <v>2</v>
      </c>
      <c r="H40" s="14">
        <v>2</v>
      </c>
      <c r="I40" s="14">
        <v>2</v>
      </c>
      <c r="J40" s="14">
        <v>2</v>
      </c>
      <c r="K40" s="14">
        <v>2</v>
      </c>
      <c r="L40" s="14">
        <v>2</v>
      </c>
      <c r="M40" s="14">
        <v>2</v>
      </c>
      <c r="N40" s="14">
        <v>2</v>
      </c>
      <c r="O40" s="14">
        <v>2</v>
      </c>
      <c r="P40" s="14">
        <v>2</v>
      </c>
      <c r="Q40" s="14">
        <v>2</v>
      </c>
      <c r="R40" s="14">
        <v>2</v>
      </c>
      <c r="S40" s="14">
        <v>2</v>
      </c>
      <c r="T40" s="14">
        <v>2</v>
      </c>
      <c r="U40" s="14">
        <v>2</v>
      </c>
      <c r="V40" s="14">
        <v>2</v>
      </c>
      <c r="W40" s="14">
        <v>2</v>
      </c>
      <c r="X40" s="14">
        <v>2</v>
      </c>
      <c r="Y40" s="36">
        <v>2</v>
      </c>
      <c r="Z40" s="36">
        <v>2</v>
      </c>
      <c r="AA40" s="15">
        <v>0</v>
      </c>
    </row>
    <row r="41" spans="1:27" ht="16.5" customHeight="1" x14ac:dyDescent="0.25">
      <c r="A41" s="62"/>
      <c r="B41" s="80"/>
      <c r="C41" s="61" t="s">
        <v>45</v>
      </c>
      <c r="D41" s="47" t="s">
        <v>19</v>
      </c>
      <c r="E41" s="14">
        <v>2</v>
      </c>
      <c r="F41" s="15">
        <v>2</v>
      </c>
      <c r="G41" s="14">
        <v>2</v>
      </c>
      <c r="H41" s="14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14">
        <v>2</v>
      </c>
      <c r="O41" s="14">
        <v>2</v>
      </c>
      <c r="P41" s="14">
        <v>2</v>
      </c>
      <c r="Q41" s="14">
        <v>2</v>
      </c>
      <c r="R41" s="14">
        <v>2</v>
      </c>
      <c r="S41" s="14">
        <v>2</v>
      </c>
      <c r="T41" s="14">
        <v>2</v>
      </c>
      <c r="U41" s="14">
        <v>2</v>
      </c>
      <c r="V41" s="14">
        <v>2</v>
      </c>
      <c r="W41" s="14">
        <v>2</v>
      </c>
      <c r="X41" s="14">
        <v>2</v>
      </c>
      <c r="Y41" s="36">
        <v>2</v>
      </c>
      <c r="Z41" s="36">
        <v>2</v>
      </c>
      <c r="AA41" s="15">
        <v>0</v>
      </c>
    </row>
    <row r="42" spans="1:27" ht="35.25" customHeight="1" x14ac:dyDescent="0.25">
      <c r="A42" s="62"/>
      <c r="B42" s="81"/>
      <c r="C42" s="81"/>
      <c r="D42" s="47" t="s">
        <v>16</v>
      </c>
      <c r="E42" s="14">
        <f t="shared" ref="E42:AA42" si="0">SUM(E11:E41)</f>
        <v>317</v>
      </c>
      <c r="F42" s="14">
        <f t="shared" si="0"/>
        <v>349</v>
      </c>
      <c r="G42" s="14">
        <f t="shared" si="0"/>
        <v>309</v>
      </c>
      <c r="H42" s="14">
        <f t="shared" si="0"/>
        <v>293</v>
      </c>
      <c r="I42" s="14">
        <f t="shared" si="0"/>
        <v>283</v>
      </c>
      <c r="J42" s="14">
        <f t="shared" si="0"/>
        <v>251</v>
      </c>
      <c r="K42" s="14">
        <f t="shared" si="0"/>
        <v>239</v>
      </c>
      <c r="L42" s="14">
        <f t="shared" si="0"/>
        <v>237</v>
      </c>
      <c r="M42" s="14">
        <f t="shared" si="0"/>
        <v>231</v>
      </c>
      <c r="N42" s="14">
        <f t="shared" si="0"/>
        <v>225</v>
      </c>
      <c r="O42" s="14">
        <f t="shared" si="0"/>
        <v>205</v>
      </c>
      <c r="P42" s="14">
        <f t="shared" si="0"/>
        <v>170</v>
      </c>
      <c r="Q42" s="14">
        <f t="shared" si="0"/>
        <v>154</v>
      </c>
      <c r="R42" s="14">
        <f t="shared" si="0"/>
        <v>148</v>
      </c>
      <c r="S42" s="14">
        <f t="shared" si="0"/>
        <v>134</v>
      </c>
      <c r="T42" s="14">
        <f t="shared" si="0"/>
        <v>124</v>
      </c>
      <c r="U42" s="14">
        <f t="shared" si="0"/>
        <v>94</v>
      </c>
      <c r="V42" s="14">
        <f t="shared" si="0"/>
        <v>96</v>
      </c>
      <c r="W42" s="14">
        <f t="shared" si="0"/>
        <v>84</v>
      </c>
      <c r="X42" s="14">
        <f t="shared" si="0"/>
        <v>44</v>
      </c>
      <c r="Y42" s="14">
        <f t="shared" si="0"/>
        <v>24</v>
      </c>
      <c r="Z42" s="14">
        <f t="shared" si="0"/>
        <v>4</v>
      </c>
      <c r="AA42" s="14">
        <f t="shared" si="0"/>
        <v>0</v>
      </c>
    </row>
    <row r="43" spans="1:27" ht="27" customHeight="1" x14ac:dyDescent="0.25">
      <c r="A43" s="50"/>
      <c r="B43" s="5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45.75" customHeight="1" x14ac:dyDescent="0.25">
      <c r="A44" s="50"/>
      <c r="B44" s="5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 customHeight="1" x14ac:dyDescent="0.25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"/>
      <c r="Z46" s="1"/>
      <c r="AA46" s="1"/>
    </row>
    <row r="47" spans="1:27" ht="16.5" customHeight="1" x14ac:dyDescent="0.25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"/>
      <c r="Z47" s="1"/>
      <c r="AA47" s="1"/>
    </row>
    <row r="48" spans="1:27" ht="16.5" customHeight="1" x14ac:dyDescent="0.2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"/>
      <c r="Z48" s="1"/>
      <c r="AA48" s="1"/>
    </row>
    <row r="49" spans="1:27" ht="16.5" customHeight="1" x14ac:dyDescent="0.25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"/>
      <c r="Z49" s="1"/>
      <c r="AA49" s="1"/>
    </row>
    <row r="50" spans="1:27" ht="16.5" customHeigh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"/>
      <c r="Z50" s="1"/>
      <c r="AA50" s="1"/>
    </row>
    <row r="51" spans="1:27" ht="16.5" customHeight="1" x14ac:dyDescent="0.2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 customHeight="1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/>
    <row r="244" spans="1:27" ht="15.75" customHeight="1" x14ac:dyDescent="0.25"/>
    <row r="245" spans="1:27" ht="15.75" customHeight="1" x14ac:dyDescent="0.25"/>
    <row r="246" spans="1:27" ht="15.75" customHeight="1" x14ac:dyDescent="0.25"/>
    <row r="247" spans="1:27" ht="15.75" customHeight="1" x14ac:dyDescent="0.25"/>
    <row r="248" spans="1:27" ht="15.75" customHeight="1" x14ac:dyDescent="0.25"/>
    <row r="249" spans="1:27" ht="15.75" customHeight="1" x14ac:dyDescent="0.25"/>
    <row r="250" spans="1:27" ht="15.75" customHeight="1" x14ac:dyDescent="0.25"/>
    <row r="251" spans="1:27" ht="15.75" customHeight="1" x14ac:dyDescent="0.25"/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8">
    <mergeCell ref="A1:AA2"/>
    <mergeCell ref="B3:D3"/>
    <mergeCell ref="D5:D8"/>
    <mergeCell ref="P5:Q5"/>
    <mergeCell ref="P6:Q6"/>
    <mergeCell ref="P7:Q7"/>
    <mergeCell ref="P8:Q8"/>
    <mergeCell ref="A11:A42"/>
    <mergeCell ref="B11:B18"/>
    <mergeCell ref="B20:B21"/>
    <mergeCell ref="B23:B34"/>
    <mergeCell ref="B40:B41"/>
    <mergeCell ref="B19:C19"/>
    <mergeCell ref="B42:C42"/>
    <mergeCell ref="B39:C39"/>
    <mergeCell ref="B37:C37"/>
    <mergeCell ref="B35:C35"/>
    <mergeCell ref="B22:C22"/>
  </mergeCells>
  <pageMargins left="0.7" right="0.7" top="0.75" bottom="0.75" header="0" footer="0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workbookViewId="0"/>
  </sheetViews>
  <sheetFormatPr defaultColWidth="12.59765625" defaultRowHeight="15" customHeight="1" x14ac:dyDescent="0.25"/>
  <cols>
    <col min="1" max="2" width="8.19921875" customWidth="1"/>
    <col min="3" max="3" width="13" customWidth="1"/>
    <col min="4" max="23" width="5.09765625" customWidth="1"/>
    <col min="24" max="26" width="8.3984375" customWidth="1"/>
  </cols>
  <sheetData>
    <row r="1" spans="1:23" ht="16.8" x14ac:dyDescent="0.3">
      <c r="A1" s="24" t="s">
        <v>50</v>
      </c>
      <c r="B1" s="37" t="s">
        <v>47</v>
      </c>
      <c r="C1" s="24" t="s">
        <v>51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16.8" x14ac:dyDescent="0.3">
      <c r="A2" s="39">
        <v>309</v>
      </c>
      <c r="B2" s="24">
        <v>309</v>
      </c>
      <c r="C2" s="40">
        <v>44480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6.8" x14ac:dyDescent="0.3">
      <c r="A3" s="39">
        <v>294</v>
      </c>
      <c r="B3" s="24">
        <v>293</v>
      </c>
      <c r="C3" s="42">
        <v>44481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6.8" x14ac:dyDescent="0.3">
      <c r="A4" s="39">
        <v>279</v>
      </c>
      <c r="B4" s="24">
        <v>283</v>
      </c>
      <c r="C4" s="42">
        <v>44482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16.8" x14ac:dyDescent="0.3">
      <c r="A5" s="39">
        <v>269</v>
      </c>
      <c r="B5" s="24">
        <v>251</v>
      </c>
      <c r="C5" s="42">
        <v>44483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ht="16.8" x14ac:dyDescent="0.3">
      <c r="A6" s="39">
        <v>259</v>
      </c>
      <c r="B6" s="24">
        <v>239</v>
      </c>
      <c r="C6" s="42">
        <v>44484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ht="16.8" x14ac:dyDescent="0.3">
      <c r="A7" s="39">
        <v>249</v>
      </c>
      <c r="B7" s="24">
        <v>237</v>
      </c>
      <c r="C7" s="42">
        <v>44485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16.8" x14ac:dyDescent="0.3">
      <c r="A8" s="39">
        <v>239</v>
      </c>
      <c r="B8" s="24">
        <v>231</v>
      </c>
      <c r="C8" s="42">
        <v>44486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ht="16.8" x14ac:dyDescent="0.3">
      <c r="A9" s="39">
        <v>229</v>
      </c>
      <c r="B9" s="24">
        <v>225</v>
      </c>
      <c r="C9" s="42">
        <v>44487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16.8" x14ac:dyDescent="0.3">
      <c r="A10" s="39">
        <v>214</v>
      </c>
      <c r="B10" s="24">
        <v>205</v>
      </c>
      <c r="C10" s="42">
        <v>44488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6.8" x14ac:dyDescent="0.3">
      <c r="A11" s="39">
        <v>199</v>
      </c>
      <c r="B11" s="24">
        <v>170</v>
      </c>
      <c r="C11" s="42">
        <v>44489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6.8" x14ac:dyDescent="0.3">
      <c r="A12" s="39">
        <v>184</v>
      </c>
      <c r="B12" s="24">
        <v>154</v>
      </c>
      <c r="C12" s="42">
        <v>44490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6.8" x14ac:dyDescent="0.3">
      <c r="A13" s="39">
        <v>164</v>
      </c>
      <c r="B13" s="24">
        <v>148</v>
      </c>
      <c r="C13" s="42">
        <v>44491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6.8" x14ac:dyDescent="0.3">
      <c r="A14" s="39">
        <v>154</v>
      </c>
      <c r="B14" s="24">
        <v>134</v>
      </c>
      <c r="C14" s="42">
        <v>44492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6.8" x14ac:dyDescent="0.3">
      <c r="A15" s="39">
        <v>144</v>
      </c>
      <c r="B15" s="24">
        <v>124</v>
      </c>
      <c r="C15" s="42">
        <v>44493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4.25" customHeight="1" x14ac:dyDescent="0.3">
      <c r="A16" s="24">
        <v>124</v>
      </c>
      <c r="B16" s="43">
        <v>94</v>
      </c>
      <c r="C16" s="42">
        <v>44494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6.8" x14ac:dyDescent="0.3">
      <c r="A17" s="39">
        <v>104</v>
      </c>
      <c r="B17" s="24">
        <v>96</v>
      </c>
      <c r="C17" s="42">
        <v>44495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6.8" x14ac:dyDescent="0.3">
      <c r="A18" s="39">
        <v>84</v>
      </c>
      <c r="B18" s="24">
        <v>84</v>
      </c>
      <c r="C18" s="42">
        <v>44496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6.8" x14ac:dyDescent="0.3">
      <c r="A19" s="39">
        <v>44</v>
      </c>
      <c r="B19" s="24">
        <v>44</v>
      </c>
      <c r="C19" s="42">
        <v>44497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6.8" x14ac:dyDescent="0.3">
      <c r="A20" s="39">
        <v>24</v>
      </c>
      <c r="B20" s="24">
        <v>24</v>
      </c>
      <c r="C20" s="42">
        <v>44498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.75" customHeight="1" x14ac:dyDescent="0.3">
      <c r="A21" s="39">
        <v>4</v>
      </c>
      <c r="B21" s="24">
        <v>4</v>
      </c>
      <c r="C21" s="42">
        <v>44499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4.25" customHeight="1" x14ac:dyDescent="0.3">
      <c r="A22" s="39">
        <v>0</v>
      </c>
      <c r="B22" s="24">
        <v>0</v>
      </c>
      <c r="C22" s="42">
        <v>44500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4.25" customHeight="1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4.25" customHeight="1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4.25" customHeight="1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4.25" customHeight="1" x14ac:dyDescent="0.3">
      <c r="A26" s="43"/>
      <c r="B26" s="43"/>
      <c r="C26" s="4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4.25" customHeight="1" x14ac:dyDescent="0.3">
      <c r="A27" s="43"/>
      <c r="B27" s="43"/>
      <c r="C27" s="43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4.25" customHeight="1" x14ac:dyDescent="0.3">
      <c r="A28" s="43"/>
      <c r="B28" s="43"/>
      <c r="C28" s="43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4.25" customHeight="1" x14ac:dyDescent="0.3">
      <c r="A29" s="43"/>
      <c r="B29" s="43"/>
      <c r="C29" s="43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4.25" customHeight="1" x14ac:dyDescent="0.3">
      <c r="A30" s="41"/>
      <c r="B30" s="43"/>
      <c r="C30" s="43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4.25" customHeight="1" x14ac:dyDescent="0.3">
      <c r="A31" s="41"/>
      <c r="B31" s="41"/>
      <c r="C31" s="41"/>
      <c r="D31" s="41"/>
      <c r="E31" s="41"/>
      <c r="F31" s="41"/>
    </row>
    <row r="32" spans="1:23" ht="14.25" customHeight="1" x14ac:dyDescent="0.3">
      <c r="A32" s="41"/>
      <c r="B32" s="41"/>
      <c r="C32" s="41"/>
      <c r="D32" s="41"/>
      <c r="E32" s="41"/>
      <c r="F32" s="41"/>
    </row>
    <row r="33" spans="1:23" ht="14.25" customHeight="1" x14ac:dyDescent="0.3">
      <c r="A33" s="41"/>
      <c r="B33" s="41"/>
      <c r="C33" s="41"/>
      <c r="D33" s="41"/>
      <c r="E33" s="41"/>
      <c r="F33" s="41"/>
    </row>
    <row r="34" spans="1:23" ht="14.25" customHeight="1" x14ac:dyDescent="0.3">
      <c r="A34" s="41"/>
      <c r="B34" s="41"/>
      <c r="C34" s="41"/>
      <c r="D34" s="41"/>
      <c r="E34" s="41"/>
      <c r="F34" s="41"/>
    </row>
    <row r="35" spans="1:23" ht="14.25" customHeight="1" x14ac:dyDescent="0.3">
      <c r="A35" s="43"/>
      <c r="B35" s="41"/>
      <c r="C35" s="41"/>
      <c r="D35" s="41"/>
      <c r="E35" s="41"/>
      <c r="F35" s="41"/>
    </row>
    <row r="36" spans="1:23" ht="14.25" customHeight="1" x14ac:dyDescent="0.3">
      <c r="A36" s="43"/>
      <c r="B36" s="43"/>
      <c r="C36" s="43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4.25" customHeight="1" x14ac:dyDescent="0.3">
      <c r="A37" s="43"/>
      <c r="B37" s="43"/>
      <c r="C37" s="43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4.25" customHeight="1" x14ac:dyDescent="0.3">
      <c r="A38" s="43"/>
      <c r="B38" s="43"/>
      <c r="C38" s="43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4.25" customHeight="1" x14ac:dyDescent="0.3">
      <c r="A39" s="43"/>
      <c r="B39" s="43"/>
      <c r="C39" s="43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4.25" customHeight="1" x14ac:dyDescent="0.3">
      <c r="A40" s="43"/>
      <c r="B40" s="43"/>
      <c r="C40" s="43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4.25" customHeight="1" x14ac:dyDescent="0.3">
      <c r="A41" s="43"/>
      <c r="B41" s="43"/>
      <c r="C41" s="43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4.25" customHeight="1" x14ac:dyDescent="0.3">
      <c r="A42" s="43"/>
      <c r="B42" s="43"/>
      <c r="C42" s="43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4.25" customHeight="1" x14ac:dyDescent="0.3">
      <c r="A43" s="43"/>
      <c r="B43" s="43"/>
      <c r="C43" s="43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4.25" customHeight="1" x14ac:dyDescent="0.3">
      <c r="A44" s="43"/>
      <c r="B44" s="43"/>
      <c r="C44" s="43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4.25" customHeight="1" x14ac:dyDescent="0.3">
      <c r="A45" s="43"/>
      <c r="B45" s="43"/>
      <c r="C45" s="43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4.25" customHeight="1" x14ac:dyDescent="0.3">
      <c r="A46" s="43"/>
      <c r="B46" s="43"/>
      <c r="C46" s="43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4.25" customHeight="1" x14ac:dyDescent="0.3">
      <c r="A47" s="43"/>
      <c r="B47" s="43"/>
      <c r="C47" s="4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4.25" customHeight="1" x14ac:dyDescent="0.3">
      <c r="A48" s="43"/>
      <c r="B48" s="43"/>
      <c r="C48" s="43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4.25" customHeight="1" x14ac:dyDescent="0.3">
      <c r="A49" s="43"/>
      <c r="B49" s="43"/>
      <c r="C49" s="43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4.25" customHeight="1" x14ac:dyDescent="0.3">
      <c r="A50" s="43"/>
      <c r="B50" s="43"/>
      <c r="C50" s="43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4.25" customHeight="1" x14ac:dyDescent="0.3">
      <c r="A51" s="43"/>
      <c r="B51" s="43"/>
      <c r="C51" s="4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4.25" customHeight="1" x14ac:dyDescent="0.3">
      <c r="A52" s="43"/>
      <c r="B52" s="43"/>
      <c r="C52" s="4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4.25" customHeight="1" x14ac:dyDescent="0.3">
      <c r="A53" s="43"/>
      <c r="B53" s="43"/>
      <c r="C53" s="43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4.25" customHeight="1" x14ac:dyDescent="0.3">
      <c r="A54" s="43"/>
      <c r="B54" s="43"/>
      <c r="C54" s="43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4.25" customHeight="1" x14ac:dyDescent="0.3">
      <c r="A55" s="43"/>
      <c r="B55" s="43"/>
      <c r="C55" s="43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14.25" customHeight="1" x14ac:dyDescent="0.3">
      <c r="A56" s="43"/>
      <c r="B56" s="43"/>
      <c r="C56" s="43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ht="14.25" customHeight="1" x14ac:dyDescent="0.3">
      <c r="A57" s="43"/>
      <c r="B57" s="43"/>
      <c r="C57" s="43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14.25" customHeight="1" x14ac:dyDescent="0.3">
      <c r="A58" s="43"/>
      <c r="B58" s="43"/>
      <c r="C58" s="43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14.25" customHeight="1" x14ac:dyDescent="0.3">
      <c r="A59" s="43"/>
      <c r="B59" s="43"/>
      <c r="C59" s="4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4.25" customHeight="1" x14ac:dyDescent="0.3">
      <c r="A60" s="43"/>
      <c r="B60" s="43"/>
      <c r="C60" s="4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4.25" customHeight="1" x14ac:dyDescent="0.3">
      <c r="A61" s="43"/>
      <c r="B61" s="43"/>
      <c r="C61" s="4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4.25" customHeight="1" x14ac:dyDescent="0.3">
      <c r="A62" s="43"/>
      <c r="B62" s="43"/>
      <c r="C62" s="4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spans="1:23" ht="14.25" customHeight="1" x14ac:dyDescent="0.3">
      <c r="A63" s="43"/>
      <c r="B63" s="43"/>
      <c r="C63" s="43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spans="1:23" ht="14.25" customHeight="1" x14ac:dyDescent="0.3">
      <c r="A64" s="43"/>
      <c r="B64" s="43"/>
      <c r="C64" s="43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spans="1:23" ht="14.25" customHeight="1" x14ac:dyDescent="0.3">
      <c r="A65" s="43"/>
      <c r="B65" s="43"/>
      <c r="C65" s="43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spans="1:23" ht="14.25" customHeight="1" x14ac:dyDescent="0.3">
      <c r="A66" s="43"/>
      <c r="B66" s="43"/>
      <c r="C66" s="43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spans="1:23" ht="14.25" customHeight="1" x14ac:dyDescent="0.3">
      <c r="A67" s="43"/>
      <c r="B67" s="43"/>
      <c r="C67" s="43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1:23" ht="14.25" customHeight="1" x14ac:dyDescent="0.3">
      <c r="A68" s="43"/>
      <c r="B68" s="43"/>
      <c r="C68" s="43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spans="1:23" ht="14.25" customHeight="1" x14ac:dyDescent="0.3">
      <c r="A69" s="43"/>
      <c r="B69" s="43"/>
      <c r="C69" s="43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spans="1:23" ht="14.25" customHeight="1" x14ac:dyDescent="0.3">
      <c r="A70" s="43"/>
      <c r="B70" s="43"/>
      <c r="C70" s="43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spans="1:23" ht="14.25" customHeight="1" x14ac:dyDescent="0.3">
      <c r="A71" s="43"/>
      <c r="B71" s="43"/>
      <c r="C71" s="43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spans="1:23" ht="14.25" customHeight="1" x14ac:dyDescent="0.3">
      <c r="A72" s="43"/>
      <c r="B72" s="43"/>
      <c r="C72" s="43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spans="1:23" ht="14.25" customHeight="1" x14ac:dyDescent="0.3">
      <c r="A73" s="43"/>
      <c r="B73" s="43"/>
      <c r="C73" s="43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1:23" ht="14.25" customHeight="1" x14ac:dyDescent="0.3">
      <c r="A74" s="43"/>
      <c r="B74" s="43"/>
      <c r="C74" s="43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1:23" ht="14.25" customHeight="1" x14ac:dyDescent="0.3">
      <c r="A75" s="43"/>
      <c r="B75" s="43"/>
      <c r="C75" s="43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1:23" ht="14.25" customHeight="1" x14ac:dyDescent="0.3">
      <c r="A76" s="43"/>
      <c r="B76" s="43"/>
      <c r="C76" s="43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spans="1:23" ht="14.25" customHeight="1" x14ac:dyDescent="0.3">
      <c r="A77" s="43"/>
      <c r="B77" s="43"/>
      <c r="C77" s="43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spans="1:23" ht="14.25" customHeight="1" x14ac:dyDescent="0.3">
      <c r="A78" s="43"/>
      <c r="B78" s="43"/>
      <c r="C78" s="43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1:23" ht="14.25" customHeight="1" x14ac:dyDescent="0.3">
      <c r="A79" s="43"/>
      <c r="B79" s="43"/>
      <c r="C79" s="43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spans="1:23" ht="14.25" customHeight="1" x14ac:dyDescent="0.3">
      <c r="A80" s="43"/>
      <c r="B80" s="43"/>
      <c r="C80" s="43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spans="1:23" ht="14.25" customHeight="1" x14ac:dyDescent="0.3">
      <c r="A81" s="43"/>
      <c r="B81" s="43"/>
      <c r="C81" s="43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spans="1:23" ht="14.25" customHeight="1" x14ac:dyDescent="0.3">
      <c r="A82" s="43"/>
      <c r="B82" s="43"/>
      <c r="C82" s="43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spans="1:23" ht="14.25" customHeight="1" x14ac:dyDescent="0.3">
      <c r="A83" s="43"/>
      <c r="B83" s="43"/>
      <c r="C83" s="43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spans="1:23" ht="14.25" customHeight="1" x14ac:dyDescent="0.3">
      <c r="A84" s="43"/>
      <c r="B84" s="43"/>
      <c r="C84" s="43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 spans="1:23" ht="14.25" customHeight="1" x14ac:dyDescent="0.3">
      <c r="A85" s="43"/>
      <c r="B85" s="43"/>
      <c r="C85" s="43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spans="1:23" ht="14.25" customHeight="1" x14ac:dyDescent="0.3">
      <c r="A86" s="43"/>
      <c r="B86" s="43"/>
      <c r="C86" s="43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1:23" ht="14.25" customHeight="1" x14ac:dyDescent="0.3">
      <c r="A87" s="43"/>
      <c r="B87" s="43"/>
      <c r="C87" s="43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1:23" ht="14.25" customHeight="1" x14ac:dyDescent="0.3">
      <c r="A88" s="43"/>
      <c r="B88" s="43"/>
      <c r="C88" s="43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spans="1:23" ht="14.25" customHeight="1" x14ac:dyDescent="0.3">
      <c r="A89" s="43"/>
      <c r="B89" s="43"/>
      <c r="C89" s="43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spans="1:23" ht="14.25" customHeight="1" x14ac:dyDescent="0.3">
      <c r="A90" s="43"/>
      <c r="B90" s="43"/>
      <c r="C90" s="43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spans="1:23" ht="14.25" customHeight="1" x14ac:dyDescent="0.3">
      <c r="A91" s="43"/>
      <c r="B91" s="43"/>
      <c r="C91" s="43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spans="1:23" ht="14.25" customHeight="1" x14ac:dyDescent="0.3">
      <c r="A92" s="43"/>
      <c r="B92" s="43"/>
      <c r="C92" s="43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spans="1:23" ht="14.25" customHeight="1" x14ac:dyDescent="0.3">
      <c r="A93" s="43"/>
      <c r="B93" s="43"/>
      <c r="C93" s="43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spans="1:23" ht="14.25" customHeight="1" x14ac:dyDescent="0.3">
      <c r="A94" s="43"/>
      <c r="B94" s="43"/>
      <c r="C94" s="43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1:23" ht="14.25" customHeight="1" x14ac:dyDescent="0.3">
      <c r="A95" s="43"/>
      <c r="B95" s="43"/>
      <c r="C95" s="43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spans="1:23" ht="14.25" customHeight="1" x14ac:dyDescent="0.3">
      <c r="A96" s="43"/>
      <c r="B96" s="43"/>
      <c r="C96" s="43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spans="1:23" ht="14.25" customHeight="1" x14ac:dyDescent="0.3">
      <c r="A97" s="43"/>
      <c r="B97" s="43"/>
      <c r="C97" s="43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spans="1:23" ht="14.25" customHeight="1" x14ac:dyDescent="0.3">
      <c r="A98" s="43"/>
      <c r="B98" s="43"/>
      <c r="C98" s="43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spans="1:23" ht="14.25" customHeight="1" x14ac:dyDescent="0.3">
      <c r="A99" s="43"/>
      <c r="B99" s="43"/>
      <c r="C99" s="43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spans="1:23" ht="14.25" customHeight="1" x14ac:dyDescent="0.3">
      <c r="A100" s="43"/>
      <c r="B100" s="43"/>
      <c r="C100" s="43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 spans="1:23" ht="14.25" customHeight="1" x14ac:dyDescent="0.3">
      <c r="A101" s="43"/>
      <c r="B101" s="43"/>
      <c r="C101" s="43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 spans="1:23" ht="14.25" customHeight="1" x14ac:dyDescent="0.3">
      <c r="A102" s="43"/>
      <c r="B102" s="43"/>
      <c r="C102" s="43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 spans="1:23" ht="14.25" customHeight="1" x14ac:dyDescent="0.3">
      <c r="A103" s="43"/>
      <c r="B103" s="43"/>
      <c r="C103" s="43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1:23" ht="14.25" customHeight="1" x14ac:dyDescent="0.3">
      <c r="A104" s="43"/>
      <c r="B104" s="43"/>
      <c r="C104" s="43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 spans="1:23" ht="14.25" customHeight="1" x14ac:dyDescent="0.3">
      <c r="A105" s="43"/>
      <c r="B105" s="43"/>
      <c r="C105" s="43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 spans="1:23" ht="14.25" customHeight="1" x14ac:dyDescent="0.3">
      <c r="A106" s="43"/>
      <c r="B106" s="43"/>
      <c r="C106" s="43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 spans="1:23" ht="14.25" customHeight="1" x14ac:dyDescent="0.3">
      <c r="A107" s="43"/>
      <c r="B107" s="43"/>
      <c r="C107" s="43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 spans="1:23" ht="14.25" customHeight="1" x14ac:dyDescent="0.3">
      <c r="A108" s="43"/>
      <c r="B108" s="43"/>
      <c r="C108" s="43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1:23" ht="14.25" customHeight="1" x14ac:dyDescent="0.3">
      <c r="A109" s="43"/>
      <c r="B109" s="43"/>
      <c r="C109" s="43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 spans="1:23" ht="14.25" customHeight="1" x14ac:dyDescent="0.3">
      <c r="A110" s="43"/>
      <c r="B110" s="43"/>
      <c r="C110" s="43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 spans="1:23" ht="14.25" customHeight="1" x14ac:dyDescent="0.3">
      <c r="A111" s="43"/>
      <c r="B111" s="43"/>
      <c r="C111" s="43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 spans="1:23" ht="14.25" customHeight="1" x14ac:dyDescent="0.3">
      <c r="A112" s="43"/>
      <c r="B112" s="43"/>
      <c r="C112" s="43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 spans="1:23" ht="14.25" customHeight="1" x14ac:dyDescent="0.3">
      <c r="A113" s="43"/>
      <c r="B113" s="43"/>
      <c r="C113" s="43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 spans="1:23" ht="14.25" customHeight="1" x14ac:dyDescent="0.3">
      <c r="A114" s="43"/>
      <c r="B114" s="43"/>
      <c r="C114" s="43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 spans="1:23" ht="14.25" customHeight="1" x14ac:dyDescent="0.3">
      <c r="A115" s="43"/>
      <c r="B115" s="43"/>
      <c r="C115" s="43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 spans="1:23" ht="14.25" customHeight="1" x14ac:dyDescent="0.3">
      <c r="A116" s="43"/>
      <c r="B116" s="43"/>
      <c r="C116" s="43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 spans="1:23" ht="14.25" customHeight="1" x14ac:dyDescent="0.3">
      <c r="A117" s="43"/>
      <c r="B117" s="43"/>
      <c r="C117" s="43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 spans="1:23" ht="14.25" customHeight="1" x14ac:dyDescent="0.3">
      <c r="A118" s="43"/>
      <c r="B118" s="43"/>
      <c r="C118" s="43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 spans="1:23" ht="14.25" customHeight="1" x14ac:dyDescent="0.3">
      <c r="A119" s="43"/>
      <c r="B119" s="43"/>
      <c r="C119" s="43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 spans="1:23" ht="14.25" customHeight="1" x14ac:dyDescent="0.3">
      <c r="A120" s="43"/>
      <c r="B120" s="43"/>
      <c r="C120" s="43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 spans="1:23" ht="14.25" customHeight="1" x14ac:dyDescent="0.3">
      <c r="A121" s="43"/>
      <c r="B121" s="43"/>
      <c r="C121" s="43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 spans="1:23" ht="14.25" customHeight="1" x14ac:dyDescent="0.3">
      <c r="A122" s="43"/>
      <c r="B122" s="43"/>
      <c r="C122" s="43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1:23" ht="14.25" customHeight="1" x14ac:dyDescent="0.3">
      <c r="A123" s="43"/>
      <c r="B123" s="43"/>
      <c r="C123" s="43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 spans="1:23" ht="14.25" customHeight="1" x14ac:dyDescent="0.3">
      <c r="A124" s="43"/>
      <c r="B124" s="43"/>
      <c r="C124" s="43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 spans="1:23" ht="14.25" customHeight="1" x14ac:dyDescent="0.3">
      <c r="A125" s="43"/>
      <c r="B125" s="43"/>
      <c r="C125" s="43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 spans="1:23" ht="14.25" customHeight="1" x14ac:dyDescent="0.3">
      <c r="A126" s="43"/>
      <c r="B126" s="43"/>
      <c r="C126" s="43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 spans="1:23" ht="14.25" customHeight="1" x14ac:dyDescent="0.3">
      <c r="A127" s="43"/>
      <c r="B127" s="43"/>
      <c r="C127" s="43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 spans="1:23" ht="14.25" customHeight="1" x14ac:dyDescent="0.3">
      <c r="A128" s="43"/>
      <c r="B128" s="43"/>
      <c r="C128" s="43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 spans="1:23" ht="14.25" customHeight="1" x14ac:dyDescent="0.3">
      <c r="A129" s="43"/>
      <c r="B129" s="43"/>
      <c r="C129" s="43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 spans="1:23" ht="14.25" customHeight="1" x14ac:dyDescent="0.3">
      <c r="A130" s="43"/>
      <c r="B130" s="43"/>
      <c r="C130" s="43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 spans="1:23" ht="14.25" customHeight="1" x14ac:dyDescent="0.3">
      <c r="A131" s="43"/>
      <c r="B131" s="43"/>
      <c r="C131" s="43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 spans="1:23" ht="14.25" customHeight="1" x14ac:dyDescent="0.3">
      <c r="A132" s="43"/>
      <c r="B132" s="43"/>
      <c r="C132" s="43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 spans="1:23" ht="14.25" customHeight="1" x14ac:dyDescent="0.3">
      <c r="A133" s="43"/>
      <c r="B133" s="43"/>
      <c r="C133" s="43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 spans="1:23" ht="14.25" customHeight="1" x14ac:dyDescent="0.3">
      <c r="A134" s="43"/>
      <c r="B134" s="43"/>
      <c r="C134" s="43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 spans="1:23" ht="14.25" customHeight="1" x14ac:dyDescent="0.3">
      <c r="A135" s="43"/>
      <c r="B135" s="43"/>
      <c r="C135" s="43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 spans="1:23" ht="14.25" customHeight="1" x14ac:dyDescent="0.3">
      <c r="A136" s="43"/>
      <c r="B136" s="43"/>
      <c r="C136" s="43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 spans="1:23" ht="14.25" customHeight="1" x14ac:dyDescent="0.3">
      <c r="A137" s="43"/>
      <c r="B137" s="43"/>
      <c r="C137" s="43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 spans="1:23" ht="14.25" customHeight="1" x14ac:dyDescent="0.3">
      <c r="A138" s="43"/>
      <c r="B138" s="43"/>
      <c r="C138" s="43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 spans="1:23" ht="14.25" customHeight="1" x14ac:dyDescent="0.3">
      <c r="A139" s="43"/>
      <c r="B139" s="43"/>
      <c r="C139" s="43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 spans="1:23" ht="14.25" customHeight="1" x14ac:dyDescent="0.3">
      <c r="A140" s="43"/>
      <c r="B140" s="43"/>
      <c r="C140" s="43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 spans="1:23" ht="14.25" customHeight="1" x14ac:dyDescent="0.3">
      <c r="A141" s="43"/>
      <c r="B141" s="43"/>
      <c r="C141" s="43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1:23" ht="14.25" customHeight="1" x14ac:dyDescent="0.3">
      <c r="A142" s="43"/>
      <c r="B142" s="43"/>
      <c r="C142" s="43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 spans="1:23" ht="14.25" customHeight="1" x14ac:dyDescent="0.3">
      <c r="A143" s="43"/>
      <c r="B143" s="43"/>
      <c r="C143" s="43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 spans="1:23" ht="14.25" customHeight="1" x14ac:dyDescent="0.3">
      <c r="A144" s="43"/>
      <c r="B144" s="43"/>
      <c r="C144" s="43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 spans="1:23" ht="14.25" customHeight="1" x14ac:dyDescent="0.3">
      <c r="A145" s="43"/>
      <c r="B145" s="43"/>
      <c r="C145" s="43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 spans="1:23" ht="14.25" customHeight="1" x14ac:dyDescent="0.3">
      <c r="A146" s="43"/>
      <c r="B146" s="43"/>
      <c r="C146" s="43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 spans="1:23" ht="14.25" customHeight="1" x14ac:dyDescent="0.3">
      <c r="A147" s="43"/>
      <c r="B147" s="43"/>
      <c r="C147" s="43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 spans="1:23" ht="14.25" customHeight="1" x14ac:dyDescent="0.3">
      <c r="A148" s="43"/>
      <c r="B148" s="43"/>
      <c r="C148" s="43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 spans="1:23" ht="14.25" customHeight="1" x14ac:dyDescent="0.3">
      <c r="A149" s="43"/>
      <c r="B149" s="43"/>
      <c r="C149" s="43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 spans="1:23" ht="14.25" customHeight="1" x14ac:dyDescent="0.3">
      <c r="A150" s="43"/>
      <c r="B150" s="43"/>
      <c r="C150" s="43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 spans="1:23" ht="14.25" customHeight="1" x14ac:dyDescent="0.3">
      <c r="A151" s="43"/>
      <c r="B151" s="43"/>
      <c r="C151" s="43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 spans="1:23" ht="14.25" customHeight="1" x14ac:dyDescent="0.3">
      <c r="A152" s="43"/>
      <c r="B152" s="43"/>
      <c r="C152" s="43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 spans="1:23" ht="14.25" customHeight="1" x14ac:dyDescent="0.3">
      <c r="A153" s="43"/>
      <c r="B153" s="43"/>
      <c r="C153" s="43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 spans="1:23" ht="14.25" customHeight="1" x14ac:dyDescent="0.3">
      <c r="A154" s="43"/>
      <c r="B154" s="43"/>
      <c r="C154" s="43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 spans="1:23" ht="14.25" customHeight="1" x14ac:dyDescent="0.3">
      <c r="A155" s="43"/>
      <c r="B155" s="43"/>
      <c r="C155" s="43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 spans="1:23" ht="14.25" customHeight="1" x14ac:dyDescent="0.3">
      <c r="A156" s="43"/>
      <c r="B156" s="43"/>
      <c r="C156" s="43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 spans="1:23" ht="14.25" customHeight="1" x14ac:dyDescent="0.3">
      <c r="A157" s="43"/>
      <c r="B157" s="43"/>
      <c r="C157" s="43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 spans="1:23" ht="14.25" customHeight="1" x14ac:dyDescent="0.3">
      <c r="A158" s="43"/>
      <c r="B158" s="43"/>
      <c r="C158" s="43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 spans="1:23" ht="14.25" customHeight="1" x14ac:dyDescent="0.3">
      <c r="A159" s="43"/>
      <c r="B159" s="43"/>
      <c r="C159" s="43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 spans="1:23" ht="14.25" customHeight="1" x14ac:dyDescent="0.3">
      <c r="A160" s="43"/>
      <c r="B160" s="43"/>
      <c r="C160" s="43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 spans="1:23" ht="14.25" customHeight="1" x14ac:dyDescent="0.3">
      <c r="A161" s="43"/>
      <c r="B161" s="43"/>
      <c r="C161" s="43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 spans="1:23" ht="14.25" customHeight="1" x14ac:dyDescent="0.3">
      <c r="A162" s="43"/>
      <c r="B162" s="43"/>
      <c r="C162" s="43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 spans="1:23" ht="14.25" customHeight="1" x14ac:dyDescent="0.3">
      <c r="A163" s="43"/>
      <c r="B163" s="43"/>
      <c r="C163" s="43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 spans="1:23" ht="14.25" customHeight="1" x14ac:dyDescent="0.3">
      <c r="A164" s="43"/>
      <c r="B164" s="43"/>
      <c r="C164" s="43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1:23" ht="14.25" customHeight="1" x14ac:dyDescent="0.3">
      <c r="A165" s="43"/>
      <c r="B165" s="43"/>
      <c r="C165" s="43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 spans="1:23" ht="14.25" customHeight="1" x14ac:dyDescent="0.3">
      <c r="A166" s="43"/>
      <c r="B166" s="43"/>
      <c r="C166" s="43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 spans="1:23" ht="14.25" customHeight="1" x14ac:dyDescent="0.3">
      <c r="A167" s="43"/>
      <c r="B167" s="43"/>
      <c r="C167" s="43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 spans="1:23" ht="14.25" customHeight="1" x14ac:dyDescent="0.3">
      <c r="A168" s="43"/>
      <c r="B168" s="43"/>
      <c r="C168" s="43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 spans="1:23" ht="14.25" customHeight="1" x14ac:dyDescent="0.3">
      <c r="A169" s="43"/>
      <c r="B169" s="43"/>
      <c r="C169" s="43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 spans="1:23" ht="14.25" customHeight="1" x14ac:dyDescent="0.3">
      <c r="A170" s="43"/>
      <c r="B170" s="43"/>
      <c r="C170" s="43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 spans="1:23" ht="14.25" customHeight="1" x14ac:dyDescent="0.3">
      <c r="A171" s="43"/>
      <c r="B171" s="43"/>
      <c r="C171" s="43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 spans="1:23" ht="14.25" customHeight="1" x14ac:dyDescent="0.3">
      <c r="A172" s="43"/>
      <c r="B172" s="43"/>
      <c r="C172" s="43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 spans="1:23" ht="14.25" customHeight="1" x14ac:dyDescent="0.3">
      <c r="A173" s="43"/>
      <c r="B173" s="43"/>
      <c r="C173" s="43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 spans="1:23" ht="14.25" customHeight="1" x14ac:dyDescent="0.3">
      <c r="A174" s="43"/>
      <c r="B174" s="43"/>
      <c r="C174" s="43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 spans="1:23" ht="14.25" customHeight="1" x14ac:dyDescent="0.3">
      <c r="A175" s="43"/>
      <c r="B175" s="43"/>
      <c r="C175" s="43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 spans="1:23" ht="14.25" customHeight="1" x14ac:dyDescent="0.3">
      <c r="A176" s="43"/>
      <c r="B176" s="43"/>
      <c r="C176" s="43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 spans="1:23" ht="14.25" customHeight="1" x14ac:dyDescent="0.3">
      <c r="A177" s="43"/>
      <c r="B177" s="43"/>
      <c r="C177" s="43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 spans="1:23" ht="14.25" customHeight="1" x14ac:dyDescent="0.3">
      <c r="A178" s="43"/>
      <c r="B178" s="43"/>
      <c r="C178" s="43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 spans="1:23" ht="14.25" customHeight="1" x14ac:dyDescent="0.3">
      <c r="A179" s="43"/>
      <c r="B179" s="43"/>
      <c r="C179" s="43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 spans="1:23" ht="14.25" customHeight="1" x14ac:dyDescent="0.3">
      <c r="A180" s="43"/>
      <c r="B180" s="43"/>
      <c r="C180" s="43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 spans="1:23" ht="14.25" customHeight="1" x14ac:dyDescent="0.3">
      <c r="A181" s="43"/>
      <c r="B181" s="43"/>
      <c r="C181" s="43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 spans="1:23" ht="14.25" customHeight="1" x14ac:dyDescent="0.3">
      <c r="A182" s="43"/>
      <c r="B182" s="43"/>
      <c r="C182" s="43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 spans="1:23" ht="14.25" customHeight="1" x14ac:dyDescent="0.3">
      <c r="A183" s="43"/>
      <c r="B183" s="43"/>
      <c r="C183" s="43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 spans="1:23" ht="14.25" customHeight="1" x14ac:dyDescent="0.3">
      <c r="A184" s="43"/>
      <c r="B184" s="43"/>
      <c r="C184" s="43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 spans="1:23" ht="14.25" customHeight="1" x14ac:dyDescent="0.3">
      <c r="A185" s="43"/>
      <c r="B185" s="43"/>
      <c r="C185" s="43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 spans="1:23" ht="14.25" customHeight="1" x14ac:dyDescent="0.3">
      <c r="A186" s="43"/>
      <c r="B186" s="43"/>
      <c r="C186" s="43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 spans="1:23" ht="14.25" customHeight="1" x14ac:dyDescent="0.3">
      <c r="A187" s="43"/>
      <c r="B187" s="43"/>
      <c r="C187" s="43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 spans="1:23" ht="14.25" customHeight="1" x14ac:dyDescent="0.3">
      <c r="A188" s="43"/>
      <c r="B188" s="43"/>
      <c r="C188" s="43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 spans="1:23" ht="14.25" customHeight="1" x14ac:dyDescent="0.3">
      <c r="A189" s="43"/>
      <c r="B189" s="43"/>
      <c r="C189" s="43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 spans="1:23" ht="14.25" customHeight="1" x14ac:dyDescent="0.3">
      <c r="A190" s="43"/>
      <c r="B190" s="43"/>
      <c r="C190" s="43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 spans="1:23" ht="14.25" customHeight="1" x14ac:dyDescent="0.3">
      <c r="A191" s="43"/>
      <c r="B191" s="43"/>
      <c r="C191" s="43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 spans="1:23" ht="14.25" customHeight="1" x14ac:dyDescent="0.3">
      <c r="A192" s="43"/>
      <c r="B192" s="43"/>
      <c r="C192" s="43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 spans="1:23" ht="14.25" customHeight="1" x14ac:dyDescent="0.3">
      <c r="A193" s="43"/>
      <c r="B193" s="43"/>
      <c r="C193" s="43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 spans="1:23" ht="14.25" customHeight="1" x14ac:dyDescent="0.3">
      <c r="A194" s="43"/>
      <c r="B194" s="43"/>
      <c r="C194" s="43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 spans="1:23" ht="14.25" customHeight="1" x14ac:dyDescent="0.3">
      <c r="A195" s="43"/>
      <c r="B195" s="43"/>
      <c r="C195" s="43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 spans="1:23" ht="14.25" customHeight="1" x14ac:dyDescent="0.3">
      <c r="A196" s="43"/>
      <c r="B196" s="43"/>
      <c r="C196" s="43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 spans="1:23" ht="14.25" customHeight="1" x14ac:dyDescent="0.3">
      <c r="A197" s="43"/>
      <c r="B197" s="43"/>
      <c r="C197" s="43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 spans="1:23" ht="14.25" customHeight="1" x14ac:dyDescent="0.3">
      <c r="A198" s="43"/>
      <c r="B198" s="43"/>
      <c r="C198" s="43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1:23" ht="14.25" customHeight="1" x14ac:dyDescent="0.3">
      <c r="A199" s="43"/>
      <c r="B199" s="43"/>
      <c r="C199" s="43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 spans="1:23" ht="14.25" customHeight="1" x14ac:dyDescent="0.3">
      <c r="A200" s="43"/>
      <c r="B200" s="43"/>
      <c r="C200" s="43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 spans="1:23" ht="14.25" customHeight="1" x14ac:dyDescent="0.3">
      <c r="A201" s="43"/>
      <c r="B201" s="43"/>
      <c r="C201" s="43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 spans="1:23" ht="14.25" customHeight="1" x14ac:dyDescent="0.3">
      <c r="A202" s="43"/>
      <c r="B202" s="43"/>
      <c r="C202" s="43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 spans="1:23" ht="14.25" customHeight="1" x14ac:dyDescent="0.3">
      <c r="A203" s="43"/>
      <c r="B203" s="43"/>
      <c r="C203" s="43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 spans="1:23" ht="14.25" customHeight="1" x14ac:dyDescent="0.3">
      <c r="A204" s="43"/>
      <c r="B204" s="43"/>
      <c r="C204" s="43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 spans="1:23" ht="14.25" customHeight="1" x14ac:dyDescent="0.3">
      <c r="A205" s="43"/>
      <c r="B205" s="43"/>
      <c r="C205" s="43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 spans="1:23" ht="14.25" customHeight="1" x14ac:dyDescent="0.3">
      <c r="A206" s="43"/>
      <c r="B206" s="43"/>
      <c r="C206" s="43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 spans="1:23" ht="14.25" customHeight="1" x14ac:dyDescent="0.3">
      <c r="A207" s="43"/>
      <c r="B207" s="43"/>
      <c r="C207" s="43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 spans="1:23" ht="14.25" customHeight="1" x14ac:dyDescent="0.3">
      <c r="A208" s="43"/>
      <c r="B208" s="43"/>
      <c r="C208" s="43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 spans="1:23" ht="14.25" customHeight="1" x14ac:dyDescent="0.3">
      <c r="A209" s="43"/>
      <c r="B209" s="43"/>
      <c r="C209" s="43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 spans="1:23" ht="14.25" customHeight="1" x14ac:dyDescent="0.3">
      <c r="A210" s="43"/>
      <c r="B210" s="43"/>
      <c r="C210" s="43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 spans="1:23" ht="14.25" customHeight="1" x14ac:dyDescent="0.3">
      <c r="A211" s="43"/>
      <c r="B211" s="43"/>
      <c r="C211" s="43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 spans="1:23" ht="14.25" customHeight="1" x14ac:dyDescent="0.3">
      <c r="A212" s="43"/>
      <c r="B212" s="43"/>
      <c r="C212" s="43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 spans="1:23" ht="14.25" customHeight="1" x14ac:dyDescent="0.3">
      <c r="A213" s="43"/>
      <c r="B213" s="43"/>
      <c r="C213" s="43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 spans="1:23" ht="14.25" customHeight="1" x14ac:dyDescent="0.3">
      <c r="A214" s="43"/>
      <c r="B214" s="43"/>
      <c r="C214" s="43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 spans="1:23" ht="14.25" customHeight="1" x14ac:dyDescent="0.3">
      <c r="A215" s="43"/>
      <c r="B215" s="43"/>
      <c r="C215" s="43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 spans="1:23" ht="14.25" customHeight="1" x14ac:dyDescent="0.3">
      <c r="A216" s="43"/>
      <c r="B216" s="43"/>
      <c r="C216" s="43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 spans="1:23" ht="14.25" customHeight="1" x14ac:dyDescent="0.3">
      <c r="A217" s="43"/>
      <c r="B217" s="43"/>
      <c r="C217" s="43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 spans="1:23" ht="14.25" customHeight="1" x14ac:dyDescent="0.3">
      <c r="A218" s="43"/>
      <c r="B218" s="43"/>
      <c r="C218" s="43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 spans="1:23" ht="14.25" customHeight="1" x14ac:dyDescent="0.3">
      <c r="A219" s="43"/>
      <c r="B219" s="43"/>
      <c r="C219" s="43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 spans="1:23" ht="14.25" customHeight="1" x14ac:dyDescent="0.3">
      <c r="A220" s="43"/>
      <c r="B220" s="43"/>
      <c r="C220" s="43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 spans="1:23" ht="14.25" customHeight="1" x14ac:dyDescent="0.3">
      <c r="A221" s="43"/>
      <c r="B221" s="43"/>
      <c r="C221" s="43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 spans="1:23" ht="14.25" customHeight="1" x14ac:dyDescent="0.3">
      <c r="A222" s="43"/>
      <c r="B222" s="43"/>
      <c r="C222" s="43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Estimated</vt:lpstr>
      <vt:lpstr>Actual</vt:lpstr>
      <vt:lpstr>Burn-down-Sprint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</dc:creator>
  <cp:lastModifiedBy>Windows User</cp:lastModifiedBy>
  <dcterms:created xsi:type="dcterms:W3CDTF">2020-09-01T04:29:00Z</dcterms:created>
  <dcterms:modified xsi:type="dcterms:W3CDTF">2021-12-17T07:01:51Z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9a533b67-9ef9-4976-9df1-0871a10e28d5</vt:lpwstr>
  </property>
  <property fmtid="{D5CDD505-2E9C-101B-9397-08002B2CF9AE}" pid="3" name="ICV">
    <vt:lpwstr>233C36DDE36043F38EE31936415367F9</vt:lpwstr>
  </property>
  <property fmtid="{D5CDD505-2E9C-101B-9397-08002B2CF9AE}" pid="4" name="KSOProductBuildVer">
    <vt:lpwstr>1033-11.2.0.10382</vt:lpwstr>
  </property>
</Properties>
</file>