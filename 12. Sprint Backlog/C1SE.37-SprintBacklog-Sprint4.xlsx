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D:\C1SE.37-OnClinic-Document\12. Sprint Backlog\"/>
    </mc:Choice>
  </mc:AlternateContent>
  <xr:revisionPtr revIDLastSave="0" documentId="13_ncr:1_{F644E017-16DD-415C-A009-00E3FB790235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Estimated" sheetId="1" r:id="rId1"/>
    <sheet name="Actual" sheetId="2" r:id="rId2"/>
    <sheet name="Burn-down-Sprint 4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uri="GoogleSheetsCustomDataVersion1">
      <go:sheetsCustomData xmlns:go="http://customooxmlschemas.google.com/" r:id="rId7" roundtripDataSignature="AMtx7mgjKcJywZ8ce5C7FO6llH+XOw3RbQ=="/>
    </ext>
  </extLst>
</workbook>
</file>

<file path=xl/calcChain.xml><?xml version="1.0" encoding="utf-8"?>
<calcChain xmlns="http://schemas.openxmlformats.org/spreadsheetml/2006/main">
  <c r="AA44" i="2" l="1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C8" i="2"/>
  <c r="C7" i="2"/>
  <c r="C6" i="2"/>
  <c r="C5" i="2"/>
  <c r="D5" i="2" s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C8" i="1"/>
  <c r="C7" i="1"/>
  <c r="C6" i="1"/>
  <c r="C5" i="1"/>
  <c r="D5" i="1" l="1"/>
</calcChain>
</file>

<file path=xl/sharedStrings.xml><?xml version="1.0" encoding="utf-8"?>
<sst xmlns="http://schemas.openxmlformats.org/spreadsheetml/2006/main" count="122" uniqueCount="54">
  <si>
    <t>SPRINT 4 SPRINT BACKLOG - PLAN</t>
  </si>
  <si>
    <t xml:space="preserve">Team Availability </t>
  </si>
  <si>
    <t>Name</t>
  </si>
  <si>
    <t>Available Hours</t>
  </si>
  <si>
    <t>Truong Gia Huy</t>
  </si>
  <si>
    <t>On Time</t>
  </si>
  <si>
    <t>Ngo Van Kha</t>
  </si>
  <si>
    <t>Lately</t>
  </si>
  <si>
    <t>Le Van Xuan</t>
  </si>
  <si>
    <t>Early</t>
  </si>
  <si>
    <t>Tran Nguyen Thanh Hong</t>
  </si>
  <si>
    <t xml:space="preserve">Unfinished
</t>
  </si>
  <si>
    <t>Sprint</t>
  </si>
  <si>
    <t>Component</t>
  </si>
  <si>
    <t>Task name</t>
  </si>
  <si>
    <t>Responsible Member</t>
  </si>
  <si>
    <t>Total</t>
  </si>
  <si>
    <t>Initial Sprint 4</t>
  </si>
  <si>
    <t>Sprint Planning Meeting</t>
  </si>
  <si>
    <t>All member</t>
  </si>
  <si>
    <t>Complete The Documents</t>
  </si>
  <si>
    <t>Huy</t>
  </si>
  <si>
    <t>Complete Database Document</t>
  </si>
  <si>
    <t>Kha</t>
  </si>
  <si>
    <t>Complete Code Standard</t>
  </si>
  <si>
    <t>Meeting Document</t>
  </si>
  <si>
    <t>Hong</t>
  </si>
  <si>
    <t>Design</t>
  </si>
  <si>
    <t xml:space="preserve">Design UI </t>
  </si>
  <si>
    <t>Kha, Xuan, Hong</t>
  </si>
  <si>
    <t>Implementation</t>
  </si>
  <si>
    <t>Update Database</t>
  </si>
  <si>
    <t>XML &amp; JAVA - Đăng ký</t>
  </si>
  <si>
    <t>XML &amp; JAVA - Quên mật khẩu</t>
  </si>
  <si>
    <t>Xuan</t>
  </si>
  <si>
    <t>XML &amp; JAVA - Đăng nhập</t>
  </si>
  <si>
    <t>XML &amp; JAVA - Lời chào</t>
  </si>
  <si>
    <t>XML &amp; JAVA - HeartBeat</t>
  </si>
  <si>
    <t>XML &amp; JAVA - Thanh toán</t>
  </si>
  <si>
    <t>Testing</t>
  </si>
  <si>
    <t>Test Sprint 4</t>
  </si>
  <si>
    <t>Fix Bugs</t>
  </si>
  <si>
    <t>Fix bugs for Sprint 4</t>
  </si>
  <si>
    <t>Release</t>
  </si>
  <si>
    <t>Review Meeting</t>
  </si>
  <si>
    <t>Retrospective Meeting</t>
  </si>
  <si>
    <t>SPRINT 4 SPRINT BACKLOG - ACTUAL</t>
  </si>
  <si>
    <t>Actual</t>
  </si>
  <si>
    <t>Complete the Documents</t>
  </si>
  <si>
    <t>Design UI</t>
  </si>
  <si>
    <t>Kha, Xuan</t>
  </si>
  <si>
    <t xml:space="preserve">XML &amp; JAVA - Quên mật khẩu </t>
  </si>
  <si>
    <t>Estimated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</si>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</sst>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0" x14ac:knownFonts="1">
    <font>
      <sz val="11"/>
      <color theme="1"/>
      <name val="Arial"/>
    </font>
    <font>
      <b/>
      <sz val="18"/>
      <color theme="1"/>
      <name val="Times New Roman"/>
    </font>
    <font>
      <sz val="13"/>
      <color theme="1"/>
      <name val="Times New Roman"/>
    </font>
    <font>
      <b/>
      <sz val="13"/>
      <color theme="1"/>
      <name val="Times New Roman"/>
    </font>
    <font>
      <sz val="13"/>
      <color rgb="FF000000"/>
      <name val="Times New Roman"/>
    </font>
    <font>
      <sz val="11"/>
      <name val="Arial"/>
    </font>
    <font>
      <sz val="13"/>
      <color theme="9"/>
      <name val="Times New Roman"/>
    </font>
    <font>
      <sz val="13"/>
      <color rgb="FF0D0D0D"/>
      <name val="Times New Roman"/>
    </font>
    <font>
      <sz val="13"/>
      <color rgb="FF00000A"/>
      <name val="Times New Roman"/>
    </font>
    <font>
      <sz val="13"/>
      <color rgb="FF000000"/>
      <name val="Times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9900FF"/>
        <bgColor rgb="FF9900FF"/>
      </patternFill>
    </fill>
    <fill>
      <patternFill patternType="solid">
        <fgColor theme="0"/>
        <bgColor theme="0"/>
      </patternFill>
    </fill>
    <fill>
      <patternFill patternType="solid">
        <fgColor rgb="FF00B050"/>
        <bgColor rgb="FF00B050"/>
      </patternFill>
    </fill>
    <fill>
      <patternFill patternType="solid">
        <fgColor rgb="FFFFFFFF"/>
        <bgColor rgb="FFFFFFFF"/>
      </patternFill>
    </fill>
    <fill>
      <patternFill patternType="solid">
        <fgColor rgb="FF00B050"/>
        <bgColor theme="0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 applyFont="1" applyAlignme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2" fontId="2" fillId="0" borderId="1" xfId="0" applyNumberFormat="1" applyFont="1" applyBorder="1" applyAlignment="1">
      <alignment vertical="center" wrapText="1"/>
    </xf>
    <xf numFmtId="0" fontId="4" fillId="2" borderId="1" xfId="0" applyFont="1" applyFill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6" fillId="4" borderId="1" xfId="0" applyFont="1" applyFill="1" applyBorder="1" applyAlignment="1">
      <alignment wrapText="1"/>
    </xf>
    <xf numFmtId="0" fontId="4" fillId="5" borderId="1" xfId="0" applyFont="1" applyFill="1" applyBorder="1" applyAlignment="1">
      <alignment wrapText="1"/>
    </xf>
    <xf numFmtId="164" fontId="3" fillId="6" borderId="1" xfId="0" applyNumberFormat="1" applyFont="1" applyFill="1" applyBorder="1" applyAlignment="1">
      <alignment horizontal="center" vertical="center" textRotation="90" wrapText="1" readingOrder="1"/>
    </xf>
    <xf numFmtId="14" fontId="3" fillId="6" borderId="1" xfId="0" applyNumberFormat="1" applyFont="1" applyFill="1" applyBorder="1" applyAlignment="1">
      <alignment horizontal="center" vertical="center" textRotation="90" wrapText="1" readingOrder="1"/>
    </xf>
    <xf numFmtId="0" fontId="2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8" fillId="6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center"/>
    </xf>
    <xf numFmtId="0" fontId="2" fillId="6" borderId="10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wrapText="1"/>
    </xf>
    <xf numFmtId="164" fontId="2" fillId="0" borderId="6" xfId="0" applyNumberFormat="1" applyFont="1" applyBorder="1" applyAlignment="1">
      <alignment horizontal="center" vertical="center" wrapText="1"/>
    </xf>
    <xf numFmtId="0" fontId="2" fillId="0" borderId="0" xfId="0" applyFont="1"/>
    <xf numFmtId="164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2" borderId="9" xfId="0" applyFont="1" applyFill="1" applyBorder="1" applyAlignment="1">
      <alignment horizontal="center" vertical="center"/>
    </xf>
    <xf numFmtId="0" fontId="0" fillId="0" borderId="10" xfId="0" applyFont="1" applyBorder="1"/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7" xfId="0" applyFont="1" applyBorder="1"/>
    <xf numFmtId="0" fontId="3" fillId="0" borderId="8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/>
    <xf numFmtId="0" fontId="3" fillId="0" borderId="0" xfId="0" applyFont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 wrapText="1"/>
    </xf>
    <xf numFmtId="0" fontId="5" fillId="0" borderId="5" xfId="0" applyFont="1" applyBorder="1"/>
    <xf numFmtId="0" fontId="5" fillId="0" borderId="6" xfId="0" applyFont="1" applyBorder="1"/>
    <xf numFmtId="0" fontId="4" fillId="0" borderId="3" xfId="0" applyFont="1" applyBorder="1" applyAlignment="1">
      <alignment vertical="center" wrapText="1"/>
    </xf>
    <xf numFmtId="0" fontId="5" fillId="0" borderId="4" xfId="0" applyFont="1" applyBorder="1"/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5" fillId="0" borderId="16" xfId="0" applyFont="1" applyBorder="1"/>
    <xf numFmtId="0" fontId="5" fillId="0" borderId="11" xfId="0" applyFont="1" applyBorder="1"/>
    <xf numFmtId="0" fontId="3" fillId="0" borderId="1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219075</xdr:colOff>
      <xdr:row>0</xdr:row>
      <xdr:rowOff>123825</xdr:rowOff>
    </xdr:from>
    <xdr:ext cx="8296275" cy="4562475"/>
    <xdr:pic>
      <xdr:nvPicPr>
        <xdr:cNvPr id="1769714072" name="Chart1" title="Biểu đồ">
          <a:extLst>
            <a:ext uri="{FF2B5EF4-FFF2-40B4-BE49-F238E27FC236}">
              <a16:creationId xmlns:a16="http://schemas.microsoft.com/office/drawing/2014/main" id="{00000000-0008-0000-0200-000098B17B69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1001"/>
  <sheetViews>
    <sheetView workbookViewId="0">
      <selection activeCell="E6" sqref="E6"/>
    </sheetView>
  </sheetViews>
  <sheetFormatPr defaultColWidth="12.59765625" defaultRowHeight="15" customHeight="1" x14ac:dyDescent="0.25"/>
  <cols>
    <col min="1" max="1" width="8.69921875" customWidth="1"/>
    <col min="2" max="2" width="18.69921875" customWidth="1"/>
    <col min="3" max="3" width="39.5" customWidth="1"/>
    <col min="4" max="4" width="14.19921875" customWidth="1"/>
    <col min="5" max="5" width="6.19921875" customWidth="1"/>
    <col min="6" max="6" width="4.5" customWidth="1"/>
    <col min="7" max="7" width="4.296875" customWidth="1"/>
    <col min="8" max="8" width="4.69921875" customWidth="1"/>
    <col min="9" max="9" width="4.296875" customWidth="1"/>
    <col min="10" max="10" width="4.5" customWidth="1"/>
    <col min="11" max="11" width="5" customWidth="1"/>
    <col min="12" max="12" width="4.3984375" customWidth="1"/>
    <col min="13" max="13" width="4.296875" customWidth="1"/>
    <col min="14" max="14" width="4.3984375" customWidth="1"/>
    <col min="15" max="16" width="4.69921875" customWidth="1"/>
    <col min="17" max="17" width="4.5" customWidth="1"/>
    <col min="18" max="18" width="4.8984375" customWidth="1"/>
    <col min="19" max="19" width="4" customWidth="1"/>
    <col min="20" max="25" width="4.69921875" customWidth="1"/>
    <col min="26" max="27" width="3.09765625" customWidth="1"/>
  </cols>
  <sheetData>
    <row r="1" spans="1:27" ht="22.5" customHeight="1" x14ac:dyDescent="0.25">
      <c r="A1" s="57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</row>
    <row r="2" spans="1:27" ht="15" customHeight="1" x14ac:dyDescent="0.25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</row>
    <row r="3" spans="1:27" ht="16.5" customHeight="1" x14ac:dyDescent="0.25">
      <c r="A3" s="1"/>
      <c r="B3" s="59" t="s">
        <v>1</v>
      </c>
      <c r="C3" s="58"/>
      <c r="D3" s="58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1"/>
    </row>
    <row r="4" spans="1:27" ht="16.5" customHeight="1" x14ac:dyDescent="0.25">
      <c r="A4" s="1"/>
      <c r="B4" s="3" t="s">
        <v>2</v>
      </c>
      <c r="C4" s="3" t="s">
        <v>3</v>
      </c>
      <c r="D4" s="4" t="s">
        <v>16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1"/>
    </row>
    <row r="5" spans="1:27" ht="16.5" customHeight="1" x14ac:dyDescent="0.3">
      <c r="A5" s="1"/>
      <c r="B5" s="5" t="s">
        <v>4</v>
      </c>
      <c r="C5" s="6">
        <f>SUMIF($D$11:$D$29,"Huy",$E$11:$E$31)+SUMIF($D$11:$D$29,"All member",$E$11:$E$31)/4</f>
        <v>99.5</v>
      </c>
      <c r="D5" s="60">
        <f ca="1">SUM(C5:C8)</f>
        <v>386.00000000000006</v>
      </c>
      <c r="E5" s="2"/>
      <c r="F5" s="2"/>
      <c r="G5" s="2"/>
      <c r="H5" s="2"/>
      <c r="I5" s="2"/>
      <c r="J5" s="2"/>
      <c r="K5" s="2"/>
      <c r="L5" s="2"/>
      <c r="M5" s="7"/>
      <c r="N5" s="63" t="s">
        <v>5</v>
      </c>
      <c r="O5" s="64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1"/>
    </row>
    <row r="6" spans="1:27" ht="16.5" customHeight="1" x14ac:dyDescent="0.3">
      <c r="A6" s="1"/>
      <c r="B6" s="5" t="s">
        <v>6</v>
      </c>
      <c r="C6" s="6">
        <f>SUMIF($D$11:$D$29,"Kha",$E$11:$E$31)+SUMIF($D$11:$D$29,"All member",$E$11:$E$31)/4+SUMIF($D$11:$D$41,"Kha, Xuan, Hong",F11:F43)/3</f>
        <v>101.16666666666667</v>
      </c>
      <c r="D6" s="61"/>
      <c r="E6" s="2"/>
      <c r="F6" s="2"/>
      <c r="G6" s="2"/>
      <c r="H6" s="2"/>
      <c r="I6" s="2"/>
      <c r="J6" s="2"/>
      <c r="K6" s="2"/>
      <c r="L6" s="2"/>
      <c r="M6" s="8"/>
      <c r="N6" s="63" t="s">
        <v>7</v>
      </c>
      <c r="O6" s="64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1"/>
    </row>
    <row r="7" spans="1:27" ht="16.5" customHeight="1" x14ac:dyDescent="0.3">
      <c r="A7" s="1"/>
      <c r="B7" s="5" t="s">
        <v>8</v>
      </c>
      <c r="C7" s="6">
        <f>SUMIF($D$11:$D$29,"Xuan",$E$11:$E$31)+SUMIF($D$11:$D$29,"All member",$E$11:$E$31)/4+SUMIF($D$11:$D$41,"Kha, Xuan, Hong",F11:F43)/3</f>
        <v>91.166666666666671</v>
      </c>
      <c r="D7" s="61"/>
      <c r="E7" s="2"/>
      <c r="F7" s="2"/>
      <c r="G7" s="2"/>
      <c r="H7" s="2"/>
      <c r="I7" s="2"/>
      <c r="J7" s="2"/>
      <c r="K7" s="2"/>
      <c r="L7" s="2"/>
      <c r="M7" s="9"/>
      <c r="N7" s="65" t="s">
        <v>9</v>
      </c>
      <c r="O7" s="64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1"/>
    </row>
    <row r="8" spans="1:27" ht="16.5" customHeight="1" x14ac:dyDescent="0.3">
      <c r="A8" s="1"/>
      <c r="B8" s="5" t="s">
        <v>10</v>
      </c>
      <c r="C8" s="6">
        <f ca="1">SUMIF($D$11:$D$29,"Hong",$E$11:$E$31)+SUMIF($D$11:$E$31,"All member",$E$11:$E$31)/4+SUMIF($D$11:$D$41,"Kha, Xuan, Hong",F11:F43)/3</f>
        <v>94.166666666666671</v>
      </c>
      <c r="D8" s="62"/>
      <c r="E8" s="2"/>
      <c r="F8" s="2"/>
      <c r="G8" s="2"/>
      <c r="H8" s="2"/>
      <c r="I8" s="2"/>
      <c r="J8" s="2"/>
      <c r="K8" s="2"/>
      <c r="L8" s="2"/>
      <c r="M8" s="10"/>
      <c r="N8" s="66" t="s">
        <v>11</v>
      </c>
      <c r="O8" s="64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1"/>
    </row>
    <row r="9" spans="1:27" ht="37.5" customHeight="1" x14ac:dyDescent="0.25">
      <c r="A9" s="1"/>
      <c r="B9" s="1"/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1"/>
    </row>
    <row r="10" spans="1:27" ht="118.5" customHeight="1" x14ac:dyDescent="0.25">
      <c r="A10" s="54" t="s">
        <v>12</v>
      </c>
      <c r="B10" s="3" t="s">
        <v>13</v>
      </c>
      <c r="C10" s="3" t="s">
        <v>14</v>
      </c>
      <c r="D10" s="3" t="s">
        <v>15</v>
      </c>
      <c r="E10" s="3" t="s">
        <v>16</v>
      </c>
      <c r="F10" s="11">
        <v>44522</v>
      </c>
      <c r="G10" s="11">
        <v>44523</v>
      </c>
      <c r="H10" s="11">
        <v>44524</v>
      </c>
      <c r="I10" s="11">
        <v>44525</v>
      </c>
      <c r="J10" s="11">
        <v>44526</v>
      </c>
      <c r="K10" s="11">
        <v>44527</v>
      </c>
      <c r="L10" s="11">
        <v>44528</v>
      </c>
      <c r="M10" s="11">
        <v>44529</v>
      </c>
      <c r="N10" s="11">
        <v>44530</v>
      </c>
      <c r="O10" s="11">
        <v>44531</v>
      </c>
      <c r="P10" s="11">
        <v>44532</v>
      </c>
      <c r="Q10" s="11">
        <v>44533</v>
      </c>
      <c r="R10" s="11">
        <v>44534</v>
      </c>
      <c r="S10" s="11">
        <v>44535</v>
      </c>
      <c r="T10" s="11">
        <v>44536</v>
      </c>
      <c r="U10" s="12">
        <v>44537</v>
      </c>
      <c r="V10" s="11">
        <v>44538</v>
      </c>
      <c r="W10" s="11">
        <v>44539</v>
      </c>
      <c r="X10" s="11">
        <v>44540</v>
      </c>
      <c r="Y10" s="11">
        <v>44541</v>
      </c>
      <c r="Z10" s="11">
        <v>44542</v>
      </c>
    </row>
    <row r="11" spans="1:27" ht="16.8" x14ac:dyDescent="0.25">
      <c r="A11" s="69">
        <v>4</v>
      </c>
      <c r="B11" s="72" t="s">
        <v>17</v>
      </c>
      <c r="C11" s="13" t="s">
        <v>18</v>
      </c>
      <c r="D11" s="14" t="s">
        <v>19</v>
      </c>
      <c r="E11" s="15">
        <v>8</v>
      </c>
      <c r="F11" s="16">
        <v>0</v>
      </c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7" ht="16.8" x14ac:dyDescent="0.25">
      <c r="A12" s="69"/>
      <c r="B12" s="73"/>
      <c r="C12" s="13" t="s">
        <v>20</v>
      </c>
      <c r="D12" s="14" t="s">
        <v>21</v>
      </c>
      <c r="E12" s="17">
        <v>20</v>
      </c>
      <c r="F12" s="17">
        <v>20</v>
      </c>
      <c r="G12" s="17">
        <v>15</v>
      </c>
      <c r="H12" s="17">
        <v>10</v>
      </c>
      <c r="I12" s="17">
        <v>5</v>
      </c>
      <c r="J12" s="16">
        <v>0</v>
      </c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7" ht="13.5" customHeight="1" x14ac:dyDescent="0.25">
      <c r="A13" s="69"/>
      <c r="B13" s="73"/>
      <c r="C13" s="18" t="s">
        <v>22</v>
      </c>
      <c r="D13" s="14" t="s">
        <v>23</v>
      </c>
      <c r="E13" s="19">
        <v>5</v>
      </c>
      <c r="F13" s="19">
        <v>5</v>
      </c>
      <c r="G13" s="19">
        <v>5</v>
      </c>
      <c r="H13" s="17">
        <v>5</v>
      </c>
      <c r="I13" s="16">
        <v>0</v>
      </c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7" ht="13.5" customHeight="1" x14ac:dyDescent="0.25">
      <c r="A14" s="69"/>
      <c r="B14" s="73"/>
      <c r="C14" s="18" t="s">
        <v>24</v>
      </c>
      <c r="D14" s="14" t="s">
        <v>23</v>
      </c>
      <c r="E14" s="19">
        <v>5</v>
      </c>
      <c r="F14" s="19">
        <v>5</v>
      </c>
      <c r="G14" s="19">
        <v>5</v>
      </c>
      <c r="H14" s="17">
        <v>5</v>
      </c>
      <c r="I14" s="16">
        <v>0</v>
      </c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7" ht="13.5" customHeight="1" x14ac:dyDescent="0.25">
      <c r="A15" s="69"/>
      <c r="B15" s="74"/>
      <c r="C15" s="18" t="s">
        <v>25</v>
      </c>
      <c r="D15" s="14" t="s">
        <v>26</v>
      </c>
      <c r="E15" s="19">
        <v>10</v>
      </c>
      <c r="F15" s="19">
        <v>10</v>
      </c>
      <c r="G15" s="19">
        <v>10</v>
      </c>
      <c r="H15" s="17">
        <v>10</v>
      </c>
      <c r="I15" s="16">
        <v>0</v>
      </c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7" ht="13.5" customHeight="1" x14ac:dyDescent="0.25">
      <c r="A16" s="69"/>
      <c r="B16" s="70"/>
      <c r="C16" s="71"/>
      <c r="D16" s="14"/>
      <c r="E16" s="19"/>
      <c r="F16" s="19"/>
      <c r="G16" s="19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7" ht="18.75" customHeight="1" x14ac:dyDescent="0.25">
      <c r="A17" s="69"/>
      <c r="B17" s="53" t="s">
        <v>27</v>
      </c>
      <c r="C17" s="18" t="s">
        <v>28</v>
      </c>
      <c r="D17" s="14" t="s">
        <v>29</v>
      </c>
      <c r="E17" s="19">
        <v>20</v>
      </c>
      <c r="F17" s="19">
        <v>20</v>
      </c>
      <c r="G17" s="19">
        <v>20</v>
      </c>
      <c r="H17" s="17">
        <v>20</v>
      </c>
      <c r="I17" s="17">
        <v>10</v>
      </c>
      <c r="J17" s="16">
        <v>0</v>
      </c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7" ht="15.75" customHeight="1" x14ac:dyDescent="0.3">
      <c r="A18" s="69"/>
      <c r="B18" s="53"/>
      <c r="C18" s="20"/>
      <c r="D18" s="14"/>
      <c r="E18" s="19"/>
      <c r="F18" s="19"/>
      <c r="G18" s="19"/>
      <c r="H18" s="19"/>
      <c r="I18" s="19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7" ht="15.75" customHeight="1" x14ac:dyDescent="0.3">
      <c r="A19" s="69"/>
      <c r="B19" s="72" t="s">
        <v>30</v>
      </c>
      <c r="C19" s="20" t="s">
        <v>31</v>
      </c>
      <c r="D19" s="14" t="s">
        <v>19</v>
      </c>
      <c r="E19" s="19">
        <v>20</v>
      </c>
      <c r="F19" s="19">
        <v>20</v>
      </c>
      <c r="G19" s="19">
        <v>20</v>
      </c>
      <c r="H19" s="19">
        <v>20</v>
      </c>
      <c r="I19" s="19">
        <v>20</v>
      </c>
      <c r="J19" s="17">
        <v>10</v>
      </c>
      <c r="K19" s="16">
        <v>0</v>
      </c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7" ht="15.75" customHeight="1" x14ac:dyDescent="0.3">
      <c r="A20" s="69"/>
      <c r="B20" s="73"/>
      <c r="C20" s="20" t="s">
        <v>32</v>
      </c>
      <c r="D20" s="14" t="s">
        <v>23</v>
      </c>
      <c r="E20" s="19">
        <v>15</v>
      </c>
      <c r="F20" s="19">
        <v>15</v>
      </c>
      <c r="G20" s="19">
        <v>15</v>
      </c>
      <c r="H20" s="19">
        <v>15</v>
      </c>
      <c r="I20" s="19">
        <v>15</v>
      </c>
      <c r="J20" s="17">
        <v>15</v>
      </c>
      <c r="K20" s="17">
        <v>15</v>
      </c>
      <c r="L20" s="17">
        <v>10</v>
      </c>
      <c r="M20" s="17">
        <v>5</v>
      </c>
      <c r="N20" s="16">
        <v>0</v>
      </c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7" ht="14.25" customHeight="1" x14ac:dyDescent="0.3">
      <c r="A21" s="69"/>
      <c r="B21" s="73"/>
      <c r="C21" s="20" t="s">
        <v>33</v>
      </c>
      <c r="D21" s="14" t="s">
        <v>34</v>
      </c>
      <c r="E21" s="21">
        <v>15</v>
      </c>
      <c r="F21" s="21">
        <v>15</v>
      </c>
      <c r="G21" s="21">
        <v>15</v>
      </c>
      <c r="H21" s="21">
        <v>15</v>
      </c>
      <c r="I21" s="21">
        <v>15</v>
      </c>
      <c r="J21" s="21">
        <v>15</v>
      </c>
      <c r="K21" s="21">
        <v>15</v>
      </c>
      <c r="L21" s="17">
        <v>10</v>
      </c>
      <c r="M21" s="21">
        <v>5</v>
      </c>
      <c r="N21" s="22">
        <v>0</v>
      </c>
      <c r="O21" s="21"/>
      <c r="P21" s="21"/>
      <c r="Q21" s="21"/>
      <c r="R21" s="21"/>
      <c r="S21" s="21"/>
      <c r="T21" s="21"/>
      <c r="U21" s="21"/>
      <c r="V21" s="21"/>
      <c r="W21" s="21"/>
      <c r="X21" s="17"/>
      <c r="Y21" s="17"/>
      <c r="Z21" s="17"/>
    </row>
    <row r="22" spans="1:27" ht="14.25" customHeight="1" x14ac:dyDescent="0.3">
      <c r="A22" s="69"/>
      <c r="B22" s="73"/>
      <c r="C22" s="20" t="s">
        <v>35</v>
      </c>
      <c r="D22" s="14" t="s">
        <v>21</v>
      </c>
      <c r="E22" s="21">
        <v>10</v>
      </c>
      <c r="F22" s="21">
        <v>10</v>
      </c>
      <c r="G22" s="21">
        <v>10</v>
      </c>
      <c r="H22" s="21">
        <v>10</v>
      </c>
      <c r="I22" s="21">
        <v>10</v>
      </c>
      <c r="J22" s="21">
        <v>10</v>
      </c>
      <c r="K22" s="21">
        <v>10</v>
      </c>
      <c r="L22" s="21">
        <v>10</v>
      </c>
      <c r="M22" s="21">
        <v>5</v>
      </c>
      <c r="N22" s="22">
        <v>0</v>
      </c>
      <c r="O22" s="21"/>
      <c r="P22" s="21"/>
      <c r="Q22" s="21"/>
      <c r="R22" s="21"/>
      <c r="S22" s="21"/>
      <c r="T22" s="21"/>
      <c r="U22" s="21"/>
      <c r="V22" s="21"/>
      <c r="W22" s="21"/>
      <c r="X22" s="17"/>
      <c r="Y22" s="17"/>
      <c r="Z22" s="17"/>
    </row>
    <row r="23" spans="1:27" ht="14.25" customHeight="1" x14ac:dyDescent="0.3">
      <c r="A23" s="69"/>
      <c r="B23" s="73"/>
      <c r="C23" s="20" t="s">
        <v>36</v>
      </c>
      <c r="D23" s="14" t="s">
        <v>26</v>
      </c>
      <c r="E23" s="21">
        <v>5</v>
      </c>
      <c r="F23" s="21">
        <v>5</v>
      </c>
      <c r="G23" s="21">
        <v>5</v>
      </c>
      <c r="H23" s="21">
        <v>5</v>
      </c>
      <c r="I23" s="21">
        <v>5</v>
      </c>
      <c r="J23" s="21">
        <v>5</v>
      </c>
      <c r="K23" s="21">
        <v>5</v>
      </c>
      <c r="L23" s="21">
        <v>5</v>
      </c>
      <c r="M23" s="21">
        <v>5</v>
      </c>
      <c r="N23" s="22">
        <v>0</v>
      </c>
      <c r="O23" s="21"/>
      <c r="P23" s="21"/>
      <c r="Q23" s="21"/>
      <c r="R23" s="21"/>
      <c r="S23" s="21"/>
      <c r="T23" s="21"/>
      <c r="U23" s="21"/>
      <c r="V23" s="21"/>
      <c r="W23" s="21"/>
      <c r="X23" s="17"/>
      <c r="Y23" s="17"/>
      <c r="Z23" s="17"/>
    </row>
    <row r="24" spans="1:27" ht="14.25" customHeight="1" x14ac:dyDescent="0.3">
      <c r="A24" s="69"/>
      <c r="B24" s="73"/>
      <c r="C24" s="20" t="s">
        <v>37</v>
      </c>
      <c r="D24" s="14" t="s">
        <v>19</v>
      </c>
      <c r="E24" s="21">
        <v>90</v>
      </c>
      <c r="F24" s="21">
        <v>90</v>
      </c>
      <c r="G24" s="21">
        <v>90</v>
      </c>
      <c r="H24" s="21">
        <v>90</v>
      </c>
      <c r="I24" s="21">
        <v>90</v>
      </c>
      <c r="J24" s="21">
        <v>90</v>
      </c>
      <c r="K24" s="21">
        <v>90</v>
      </c>
      <c r="L24" s="21">
        <v>90</v>
      </c>
      <c r="M24" s="21">
        <v>90</v>
      </c>
      <c r="N24" s="21">
        <v>70</v>
      </c>
      <c r="O24" s="21">
        <v>50</v>
      </c>
      <c r="P24" s="21">
        <v>30</v>
      </c>
      <c r="Q24" s="21">
        <v>20</v>
      </c>
      <c r="R24" s="22">
        <v>0</v>
      </c>
      <c r="S24" s="21"/>
      <c r="T24" s="21"/>
      <c r="U24" s="21"/>
      <c r="V24" s="21"/>
      <c r="W24" s="21"/>
      <c r="X24" s="17"/>
      <c r="Y24" s="17"/>
      <c r="Z24" s="17"/>
    </row>
    <row r="25" spans="1:27" ht="14.25" customHeight="1" x14ac:dyDescent="0.3">
      <c r="A25" s="69"/>
      <c r="B25" s="74"/>
      <c r="C25" s="20" t="s">
        <v>38</v>
      </c>
      <c r="D25" s="14" t="s">
        <v>19</v>
      </c>
      <c r="E25" s="21">
        <v>60</v>
      </c>
      <c r="F25" s="21">
        <v>60</v>
      </c>
      <c r="G25" s="21">
        <v>60</v>
      </c>
      <c r="H25" s="21">
        <v>60</v>
      </c>
      <c r="I25" s="21">
        <v>60</v>
      </c>
      <c r="J25" s="21">
        <v>60</v>
      </c>
      <c r="K25" s="21">
        <v>60</v>
      </c>
      <c r="L25" s="21">
        <v>60</v>
      </c>
      <c r="M25" s="21">
        <v>60</v>
      </c>
      <c r="N25" s="21">
        <v>60</v>
      </c>
      <c r="O25" s="21">
        <v>60</v>
      </c>
      <c r="P25" s="21">
        <v>60</v>
      </c>
      <c r="Q25" s="21">
        <v>60</v>
      </c>
      <c r="R25" s="21">
        <v>60</v>
      </c>
      <c r="S25" s="21">
        <v>40</v>
      </c>
      <c r="T25" s="21">
        <v>20</v>
      </c>
      <c r="U25" s="22">
        <v>0</v>
      </c>
      <c r="V25" s="21"/>
      <c r="W25" s="21"/>
      <c r="X25" s="17"/>
      <c r="Y25" s="17"/>
      <c r="Z25" s="17"/>
    </row>
    <row r="26" spans="1:27" ht="14.25" customHeight="1" x14ac:dyDescent="0.25">
      <c r="A26" s="69"/>
      <c r="B26" s="70"/>
      <c r="C26" s="71"/>
      <c r="D26" s="14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17"/>
      <c r="Y26" s="17"/>
      <c r="Z26" s="17"/>
    </row>
    <row r="27" spans="1:27" ht="14.25" customHeight="1" x14ac:dyDescent="0.3">
      <c r="A27" s="69"/>
      <c r="B27" s="53" t="s">
        <v>39</v>
      </c>
      <c r="C27" s="20" t="s">
        <v>40</v>
      </c>
      <c r="D27" s="14" t="s">
        <v>19</v>
      </c>
      <c r="E27" s="21">
        <v>40</v>
      </c>
      <c r="F27" s="21">
        <v>40</v>
      </c>
      <c r="G27" s="21">
        <v>40</v>
      </c>
      <c r="H27" s="21">
        <v>40</v>
      </c>
      <c r="I27" s="21">
        <v>40</v>
      </c>
      <c r="J27" s="21">
        <v>40</v>
      </c>
      <c r="K27" s="21">
        <v>40</v>
      </c>
      <c r="L27" s="21">
        <v>40</v>
      </c>
      <c r="M27" s="21">
        <v>40</v>
      </c>
      <c r="N27" s="21">
        <v>40</v>
      </c>
      <c r="O27" s="21">
        <v>40</v>
      </c>
      <c r="P27" s="21">
        <v>40</v>
      </c>
      <c r="Q27" s="21">
        <v>40</v>
      </c>
      <c r="R27" s="21">
        <v>40</v>
      </c>
      <c r="S27" s="21">
        <v>40</v>
      </c>
      <c r="T27" s="21">
        <v>40</v>
      </c>
      <c r="U27" s="21">
        <v>40</v>
      </c>
      <c r="V27" s="21">
        <v>20</v>
      </c>
      <c r="W27" s="22">
        <v>0</v>
      </c>
      <c r="X27" s="17"/>
      <c r="Y27" s="17"/>
      <c r="Z27" s="17"/>
    </row>
    <row r="28" spans="1:27" ht="20.25" customHeight="1" x14ac:dyDescent="0.3">
      <c r="A28" s="69"/>
      <c r="B28" s="70"/>
      <c r="C28" s="71"/>
      <c r="D28" s="24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spans="1:27" ht="20.25" customHeight="1" x14ac:dyDescent="0.3">
      <c r="A29" s="69"/>
      <c r="B29" s="53" t="s">
        <v>41</v>
      </c>
      <c r="C29" s="23" t="s">
        <v>42</v>
      </c>
      <c r="D29" s="24" t="s">
        <v>19</v>
      </c>
      <c r="E29" s="25">
        <v>60</v>
      </c>
      <c r="F29" s="25">
        <v>60</v>
      </c>
      <c r="G29" s="25">
        <v>60</v>
      </c>
      <c r="H29" s="25">
        <v>60</v>
      </c>
      <c r="I29" s="25">
        <v>60</v>
      </c>
      <c r="J29" s="25">
        <v>60</v>
      </c>
      <c r="K29" s="25">
        <v>60</v>
      </c>
      <c r="L29" s="25">
        <v>60</v>
      </c>
      <c r="M29" s="25">
        <v>60</v>
      </c>
      <c r="N29" s="25">
        <v>60</v>
      </c>
      <c r="O29" s="25">
        <v>60</v>
      </c>
      <c r="P29" s="25">
        <v>60</v>
      </c>
      <c r="Q29" s="25">
        <v>60</v>
      </c>
      <c r="R29" s="25">
        <v>60</v>
      </c>
      <c r="S29" s="25">
        <v>60</v>
      </c>
      <c r="T29" s="25">
        <v>60</v>
      </c>
      <c r="U29" s="25">
        <v>60</v>
      </c>
      <c r="V29" s="25">
        <v>60</v>
      </c>
      <c r="W29" s="25">
        <v>40</v>
      </c>
      <c r="X29" s="25">
        <v>20</v>
      </c>
      <c r="Y29" s="26">
        <v>0</v>
      </c>
      <c r="Z29" s="27"/>
    </row>
    <row r="30" spans="1:27" ht="20.25" customHeight="1" x14ac:dyDescent="0.3">
      <c r="A30" s="69"/>
      <c r="B30" s="70"/>
      <c r="C30" s="71"/>
      <c r="D30" s="24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8"/>
      <c r="P30" s="25"/>
      <c r="Q30" s="25"/>
      <c r="R30" s="25"/>
      <c r="S30" s="25"/>
      <c r="T30" s="25"/>
      <c r="U30" s="25"/>
      <c r="V30" s="25"/>
      <c r="W30" s="25"/>
      <c r="X30" s="25"/>
      <c r="Y30" s="48"/>
      <c r="Z30" s="27"/>
    </row>
    <row r="31" spans="1:27" ht="20.25" customHeight="1" x14ac:dyDescent="0.3">
      <c r="A31" s="69"/>
      <c r="B31" s="75" t="s">
        <v>43</v>
      </c>
      <c r="C31" s="23" t="s">
        <v>44</v>
      </c>
      <c r="D31" s="24" t="s">
        <v>19</v>
      </c>
      <c r="E31" s="25">
        <v>12</v>
      </c>
      <c r="F31" s="25">
        <v>12</v>
      </c>
      <c r="G31" s="25">
        <v>12</v>
      </c>
      <c r="H31" s="25">
        <v>12</v>
      </c>
      <c r="I31" s="25">
        <v>12</v>
      </c>
      <c r="J31" s="25">
        <v>12</v>
      </c>
      <c r="K31" s="25">
        <v>12</v>
      </c>
      <c r="L31" s="25">
        <v>12</v>
      </c>
      <c r="M31" s="25">
        <v>12</v>
      </c>
      <c r="N31" s="25">
        <v>12</v>
      </c>
      <c r="O31" s="28">
        <v>12</v>
      </c>
      <c r="P31" s="25">
        <v>12</v>
      </c>
      <c r="Q31" s="25">
        <v>12</v>
      </c>
      <c r="R31" s="25">
        <v>12</v>
      </c>
      <c r="S31" s="25">
        <v>12</v>
      </c>
      <c r="T31" s="25">
        <v>12</v>
      </c>
      <c r="U31" s="25">
        <v>12</v>
      </c>
      <c r="V31" s="25">
        <v>12</v>
      </c>
      <c r="W31" s="25">
        <v>12</v>
      </c>
      <c r="X31" s="25">
        <v>12</v>
      </c>
      <c r="Y31" s="29">
        <v>12</v>
      </c>
      <c r="Z31" s="26">
        <v>0</v>
      </c>
      <c r="AA31" s="30"/>
    </row>
    <row r="32" spans="1:27" ht="20.25" customHeight="1" x14ac:dyDescent="0.3">
      <c r="A32" s="69"/>
      <c r="B32" s="74"/>
      <c r="C32" s="23" t="s">
        <v>45</v>
      </c>
      <c r="D32" s="24" t="s">
        <v>19</v>
      </c>
      <c r="E32" s="25">
        <v>4</v>
      </c>
      <c r="F32" s="25">
        <v>4</v>
      </c>
      <c r="G32" s="25">
        <v>4</v>
      </c>
      <c r="H32" s="25">
        <v>4</v>
      </c>
      <c r="I32" s="25">
        <v>4</v>
      </c>
      <c r="J32" s="25">
        <v>4</v>
      </c>
      <c r="K32" s="25">
        <v>4</v>
      </c>
      <c r="L32" s="25">
        <v>4</v>
      </c>
      <c r="M32" s="25">
        <v>4</v>
      </c>
      <c r="N32" s="25">
        <v>4</v>
      </c>
      <c r="O32" s="28">
        <v>4</v>
      </c>
      <c r="P32" s="25">
        <v>4</v>
      </c>
      <c r="Q32" s="25">
        <v>4</v>
      </c>
      <c r="R32" s="25">
        <v>4</v>
      </c>
      <c r="S32" s="25">
        <v>4</v>
      </c>
      <c r="T32" s="25">
        <v>4</v>
      </c>
      <c r="U32" s="25">
        <v>4</v>
      </c>
      <c r="V32" s="25">
        <v>4</v>
      </c>
      <c r="W32" s="25">
        <v>4</v>
      </c>
      <c r="X32" s="25">
        <v>4</v>
      </c>
      <c r="Y32" s="29">
        <v>4</v>
      </c>
      <c r="Z32" s="26">
        <v>0</v>
      </c>
      <c r="AA32" s="30"/>
    </row>
    <row r="33" spans="1:27" ht="16.5" customHeight="1" x14ac:dyDescent="0.25">
      <c r="A33" s="69"/>
      <c r="B33" s="67"/>
      <c r="C33" s="68"/>
      <c r="D33" s="15" t="s">
        <v>16</v>
      </c>
      <c r="E33" s="15">
        <f>SUM(E11:E31)</f>
        <v>395</v>
      </c>
      <c r="F33" s="15">
        <f t="shared" ref="F33:Y33" si="0">SUM(F12:F32)</f>
        <v>391</v>
      </c>
      <c r="G33" s="15">
        <f t="shared" si="0"/>
        <v>386</v>
      </c>
      <c r="H33" s="15">
        <f t="shared" si="0"/>
        <v>381</v>
      </c>
      <c r="I33" s="15">
        <f t="shared" si="0"/>
        <v>346</v>
      </c>
      <c r="J33" s="15">
        <f t="shared" si="0"/>
        <v>321</v>
      </c>
      <c r="K33" s="15">
        <f t="shared" si="0"/>
        <v>311</v>
      </c>
      <c r="L33" s="15">
        <f t="shared" si="0"/>
        <v>301</v>
      </c>
      <c r="M33" s="15">
        <f t="shared" si="0"/>
        <v>286</v>
      </c>
      <c r="N33" s="15">
        <f t="shared" si="0"/>
        <v>246</v>
      </c>
      <c r="O33" s="15">
        <f t="shared" si="0"/>
        <v>226</v>
      </c>
      <c r="P33" s="15">
        <f t="shared" si="0"/>
        <v>206</v>
      </c>
      <c r="Q33" s="15">
        <f t="shared" si="0"/>
        <v>196</v>
      </c>
      <c r="R33" s="15">
        <f t="shared" si="0"/>
        <v>176</v>
      </c>
      <c r="S33" s="15">
        <f t="shared" si="0"/>
        <v>156</v>
      </c>
      <c r="T33" s="15">
        <f t="shared" si="0"/>
        <v>136</v>
      </c>
      <c r="U33" s="15">
        <f t="shared" si="0"/>
        <v>116</v>
      </c>
      <c r="V33" s="15">
        <f t="shared" si="0"/>
        <v>96</v>
      </c>
      <c r="W33" s="15">
        <f t="shared" si="0"/>
        <v>56</v>
      </c>
      <c r="X33" s="15">
        <f t="shared" si="0"/>
        <v>36</v>
      </c>
      <c r="Y33" s="15">
        <f t="shared" si="0"/>
        <v>16</v>
      </c>
      <c r="Z33" s="31">
        <f>SUM(Z13:Z32)</f>
        <v>0</v>
      </c>
    </row>
    <row r="34" spans="1:27" ht="16.5" customHeight="1" x14ac:dyDescent="0.25">
      <c r="A34" s="1"/>
      <c r="B34" s="1"/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1"/>
    </row>
    <row r="35" spans="1:27" ht="16.5" customHeight="1" x14ac:dyDescent="0.25">
      <c r="A35" s="1"/>
      <c r="B35" s="1"/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1"/>
    </row>
    <row r="36" spans="1:27" ht="16.5" customHeight="1" x14ac:dyDescent="0.25">
      <c r="A36" s="1"/>
      <c r="B36" s="1"/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1"/>
    </row>
    <row r="37" spans="1:27" ht="16.5" customHeight="1" x14ac:dyDescent="0.25">
      <c r="A37" s="1"/>
      <c r="B37" s="1"/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1"/>
    </row>
    <row r="38" spans="1:27" ht="16.5" customHeight="1" x14ac:dyDescent="0.25">
      <c r="A38" s="1"/>
      <c r="B38" s="1"/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1"/>
    </row>
    <row r="39" spans="1:27" ht="16.5" customHeight="1" x14ac:dyDescent="0.25">
      <c r="A39" s="1"/>
      <c r="B39" s="1"/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1"/>
    </row>
    <row r="40" spans="1:27" ht="16.5" customHeight="1" x14ac:dyDescent="0.25">
      <c r="A40" s="1"/>
      <c r="B40" s="1"/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1"/>
    </row>
    <row r="41" spans="1:27" ht="16.5" customHeight="1" x14ac:dyDescent="0.25">
      <c r="A41" s="1"/>
      <c r="B41" s="1"/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1"/>
    </row>
    <row r="42" spans="1:27" ht="16.5" customHeight="1" x14ac:dyDescent="0.25">
      <c r="A42" s="1"/>
      <c r="B42" s="1"/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1"/>
    </row>
    <row r="43" spans="1:27" ht="16.5" customHeight="1" x14ac:dyDescent="0.25">
      <c r="A43" s="1"/>
      <c r="B43" s="1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1"/>
    </row>
    <row r="44" spans="1:27" ht="16.5" customHeight="1" x14ac:dyDescent="0.25">
      <c r="A44" s="1"/>
      <c r="B44" s="1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1"/>
    </row>
    <row r="45" spans="1:27" ht="16.5" customHeight="1" x14ac:dyDescent="0.25">
      <c r="A45" s="1"/>
      <c r="B45" s="1"/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1"/>
    </row>
    <row r="46" spans="1:27" ht="16.5" customHeight="1" x14ac:dyDescent="0.25">
      <c r="A46" s="1"/>
      <c r="B46" s="1"/>
      <c r="C46" s="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1"/>
    </row>
    <row r="47" spans="1:27" ht="16.5" customHeight="1" x14ac:dyDescent="0.25">
      <c r="A47" s="1"/>
      <c r="B47" s="1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1"/>
    </row>
    <row r="48" spans="1:27" ht="16.5" customHeight="1" x14ac:dyDescent="0.25">
      <c r="A48" s="1"/>
      <c r="B48" s="1"/>
      <c r="C48" s="1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1"/>
    </row>
    <row r="49" spans="1:27" ht="16.5" customHeight="1" x14ac:dyDescent="0.25">
      <c r="A49" s="1"/>
      <c r="B49" s="1"/>
      <c r="C49" s="1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1"/>
    </row>
    <row r="50" spans="1:27" ht="16.5" customHeight="1" x14ac:dyDescent="0.25">
      <c r="A50" s="1"/>
      <c r="B50" s="1"/>
      <c r="C50" s="1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1"/>
    </row>
    <row r="51" spans="1:27" ht="16.5" customHeight="1" x14ac:dyDescent="0.25">
      <c r="A51" s="1"/>
      <c r="B51" s="1"/>
      <c r="C51" s="1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1"/>
    </row>
    <row r="52" spans="1:27" ht="16.5" customHeight="1" x14ac:dyDescent="0.25">
      <c r="A52" s="1"/>
      <c r="B52" s="1"/>
      <c r="C52" s="1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1"/>
    </row>
    <row r="53" spans="1:27" ht="16.5" customHeight="1" x14ac:dyDescent="0.25">
      <c r="A53" s="1"/>
      <c r="B53" s="1"/>
      <c r="C53" s="1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1"/>
    </row>
    <row r="54" spans="1:27" ht="16.5" customHeight="1" x14ac:dyDescent="0.25">
      <c r="A54" s="1"/>
      <c r="B54" s="1"/>
      <c r="C54" s="1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1"/>
    </row>
    <row r="55" spans="1:27" ht="16.5" customHeight="1" x14ac:dyDescent="0.25">
      <c r="A55" s="1"/>
      <c r="B55" s="1"/>
      <c r="C55" s="1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1"/>
    </row>
    <row r="56" spans="1:27" ht="16.5" customHeight="1" x14ac:dyDescent="0.25">
      <c r="A56" s="1"/>
      <c r="B56" s="1"/>
      <c r="C56" s="1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1"/>
    </row>
    <row r="57" spans="1:27" ht="16.5" customHeight="1" x14ac:dyDescent="0.25">
      <c r="A57" s="1"/>
      <c r="B57" s="1"/>
      <c r="C57" s="1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1"/>
    </row>
    <row r="58" spans="1:27" ht="16.5" customHeight="1" x14ac:dyDescent="0.25">
      <c r="A58" s="1"/>
      <c r="B58" s="1"/>
      <c r="C58" s="1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1"/>
    </row>
    <row r="59" spans="1:27" ht="16.5" customHeight="1" x14ac:dyDescent="0.25">
      <c r="A59" s="1"/>
      <c r="B59" s="1"/>
      <c r="C59" s="1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1"/>
    </row>
    <row r="60" spans="1:27" ht="16.5" customHeight="1" x14ac:dyDescent="0.25">
      <c r="A60" s="1"/>
      <c r="B60" s="1"/>
      <c r="C60" s="1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1"/>
    </row>
    <row r="61" spans="1:27" ht="16.5" customHeight="1" x14ac:dyDescent="0.25">
      <c r="A61" s="1"/>
      <c r="B61" s="1"/>
      <c r="C61" s="1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1"/>
    </row>
    <row r="62" spans="1:27" ht="16.5" customHeight="1" x14ac:dyDescent="0.25">
      <c r="A62" s="1"/>
      <c r="B62" s="1"/>
      <c r="C62" s="1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1"/>
    </row>
    <row r="63" spans="1:27" ht="16.5" customHeight="1" x14ac:dyDescent="0.25">
      <c r="A63" s="1"/>
      <c r="B63" s="1"/>
      <c r="C63" s="1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1"/>
    </row>
    <row r="64" spans="1:27" ht="16.5" customHeight="1" x14ac:dyDescent="0.25">
      <c r="A64" s="1"/>
      <c r="B64" s="1"/>
      <c r="C64" s="1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1"/>
    </row>
    <row r="65" spans="1:27" ht="16.5" customHeight="1" x14ac:dyDescent="0.25">
      <c r="A65" s="1"/>
      <c r="B65" s="1"/>
      <c r="C65" s="1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1"/>
    </row>
    <row r="66" spans="1:27" ht="16.5" customHeight="1" x14ac:dyDescent="0.25">
      <c r="A66" s="1"/>
      <c r="B66" s="1"/>
      <c r="C66" s="1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1"/>
    </row>
    <row r="67" spans="1:27" ht="16.5" customHeight="1" x14ac:dyDescent="0.25">
      <c r="A67" s="1"/>
      <c r="B67" s="1"/>
      <c r="C67" s="1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1"/>
    </row>
    <row r="68" spans="1:27" ht="16.5" customHeight="1" x14ac:dyDescent="0.25">
      <c r="A68" s="1"/>
      <c r="B68" s="1"/>
      <c r="C68" s="1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1"/>
    </row>
    <row r="69" spans="1:27" ht="16.5" customHeight="1" x14ac:dyDescent="0.25">
      <c r="A69" s="1"/>
      <c r="B69" s="1"/>
      <c r="C69" s="1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1"/>
    </row>
    <row r="70" spans="1:27" ht="16.5" customHeight="1" x14ac:dyDescent="0.25">
      <c r="A70" s="1"/>
      <c r="B70" s="1"/>
      <c r="C70" s="1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1"/>
    </row>
    <row r="71" spans="1:27" ht="16.5" customHeight="1" x14ac:dyDescent="0.25">
      <c r="A71" s="1"/>
      <c r="B71" s="1"/>
      <c r="C71" s="1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1"/>
    </row>
    <row r="72" spans="1:27" ht="16.5" customHeight="1" x14ac:dyDescent="0.25">
      <c r="A72" s="1"/>
      <c r="B72" s="1"/>
      <c r="C72" s="1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1"/>
    </row>
    <row r="73" spans="1:27" ht="16.5" customHeight="1" x14ac:dyDescent="0.25">
      <c r="A73" s="1"/>
      <c r="B73" s="1"/>
      <c r="C73" s="1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1"/>
    </row>
    <row r="74" spans="1:27" ht="16.5" customHeight="1" x14ac:dyDescent="0.25">
      <c r="A74" s="1"/>
      <c r="B74" s="1"/>
      <c r="C74" s="1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1"/>
    </row>
    <row r="75" spans="1:27" ht="16.5" customHeight="1" x14ac:dyDescent="0.25">
      <c r="A75" s="1"/>
      <c r="B75" s="1"/>
      <c r="C75" s="1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1"/>
    </row>
    <row r="76" spans="1:27" ht="16.5" customHeight="1" x14ac:dyDescent="0.25">
      <c r="A76" s="1"/>
      <c r="B76" s="1"/>
      <c r="C76" s="1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1"/>
    </row>
    <row r="77" spans="1:27" ht="16.5" customHeight="1" x14ac:dyDescent="0.25">
      <c r="A77" s="1"/>
      <c r="B77" s="1"/>
      <c r="C77" s="1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1"/>
    </row>
    <row r="78" spans="1:27" ht="16.5" customHeight="1" x14ac:dyDescent="0.25">
      <c r="A78" s="1"/>
      <c r="B78" s="1"/>
      <c r="C78" s="1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1"/>
    </row>
    <row r="79" spans="1:27" ht="16.5" customHeight="1" x14ac:dyDescent="0.25">
      <c r="A79" s="1"/>
      <c r="B79" s="1"/>
      <c r="C79" s="1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1"/>
    </row>
    <row r="80" spans="1:27" ht="16.5" customHeight="1" x14ac:dyDescent="0.25">
      <c r="A80" s="1"/>
      <c r="B80" s="1"/>
      <c r="C80" s="1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1"/>
    </row>
    <row r="81" spans="1:27" ht="16.5" customHeight="1" x14ac:dyDescent="0.25">
      <c r="A81" s="1"/>
      <c r="B81" s="1"/>
      <c r="C81" s="1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1"/>
    </row>
    <row r="82" spans="1:27" ht="16.5" customHeight="1" x14ac:dyDescent="0.25">
      <c r="A82" s="1"/>
      <c r="B82" s="1"/>
      <c r="C82" s="1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1"/>
    </row>
    <row r="83" spans="1:27" ht="16.5" customHeight="1" x14ac:dyDescent="0.25">
      <c r="A83" s="1"/>
      <c r="B83" s="1"/>
      <c r="C83" s="1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1"/>
    </row>
    <row r="84" spans="1:27" ht="16.5" customHeight="1" x14ac:dyDescent="0.25">
      <c r="A84" s="1"/>
      <c r="B84" s="1"/>
      <c r="C84" s="1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1"/>
    </row>
    <row r="85" spans="1:27" ht="16.5" customHeight="1" x14ac:dyDescent="0.25">
      <c r="A85" s="1"/>
      <c r="B85" s="1"/>
      <c r="C85" s="1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1"/>
    </row>
    <row r="86" spans="1:27" ht="16.5" customHeight="1" x14ac:dyDescent="0.25">
      <c r="A86" s="1"/>
      <c r="B86" s="1"/>
      <c r="C86" s="1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1"/>
    </row>
    <row r="87" spans="1:27" ht="16.5" customHeight="1" x14ac:dyDescent="0.25">
      <c r="A87" s="1"/>
      <c r="B87" s="1"/>
      <c r="C87" s="1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1"/>
    </row>
    <row r="88" spans="1:27" ht="16.5" customHeight="1" x14ac:dyDescent="0.25">
      <c r="A88" s="1"/>
      <c r="B88" s="1"/>
      <c r="C88" s="1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1"/>
    </row>
    <row r="89" spans="1:27" ht="16.5" customHeight="1" x14ac:dyDescent="0.25">
      <c r="A89" s="1"/>
      <c r="B89" s="1"/>
      <c r="C89" s="1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1"/>
    </row>
    <row r="90" spans="1:27" ht="16.5" customHeight="1" x14ac:dyDescent="0.25">
      <c r="A90" s="1"/>
      <c r="B90" s="1"/>
      <c r="C90" s="1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1"/>
    </row>
    <row r="91" spans="1:27" ht="16.5" customHeight="1" x14ac:dyDescent="0.25">
      <c r="A91" s="1"/>
      <c r="B91" s="1"/>
      <c r="C91" s="1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1"/>
    </row>
    <row r="92" spans="1:27" ht="16.5" customHeight="1" x14ac:dyDescent="0.25">
      <c r="A92" s="1"/>
      <c r="B92" s="1"/>
      <c r="C92" s="1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1"/>
    </row>
    <row r="93" spans="1:27" ht="16.5" customHeight="1" x14ac:dyDescent="0.25">
      <c r="A93" s="1"/>
      <c r="B93" s="1"/>
      <c r="C93" s="1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1"/>
    </row>
    <row r="94" spans="1:27" ht="16.5" customHeight="1" x14ac:dyDescent="0.25">
      <c r="A94" s="1"/>
      <c r="B94" s="1"/>
      <c r="C94" s="1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1"/>
    </row>
    <row r="95" spans="1:27" ht="16.5" customHeight="1" x14ac:dyDescent="0.25">
      <c r="A95" s="1"/>
      <c r="B95" s="1"/>
      <c r="C95" s="1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1"/>
    </row>
    <row r="96" spans="1:27" ht="16.5" customHeight="1" x14ac:dyDescent="0.25">
      <c r="A96" s="1"/>
      <c r="B96" s="1"/>
      <c r="C96" s="1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1"/>
    </row>
    <row r="97" spans="1:27" ht="16.5" customHeight="1" x14ac:dyDescent="0.25">
      <c r="A97" s="1"/>
      <c r="B97" s="1"/>
      <c r="C97" s="1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1"/>
    </row>
    <row r="98" spans="1:27" ht="16.5" customHeight="1" x14ac:dyDescent="0.25">
      <c r="A98" s="1"/>
      <c r="B98" s="1"/>
      <c r="C98" s="1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1"/>
    </row>
    <row r="99" spans="1:27" ht="16.5" customHeight="1" x14ac:dyDescent="0.25">
      <c r="A99" s="1"/>
      <c r="B99" s="1"/>
      <c r="C99" s="1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1"/>
    </row>
    <row r="100" spans="1:27" ht="16.5" customHeight="1" x14ac:dyDescent="0.25">
      <c r="A100" s="1"/>
      <c r="B100" s="1"/>
      <c r="C100" s="1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1"/>
    </row>
    <row r="101" spans="1:27" ht="16.5" customHeight="1" x14ac:dyDescent="0.25">
      <c r="A101" s="1"/>
      <c r="B101" s="1"/>
      <c r="C101" s="1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1"/>
    </row>
    <row r="102" spans="1:27" ht="16.5" customHeight="1" x14ac:dyDescent="0.25">
      <c r="A102" s="1"/>
      <c r="B102" s="1"/>
      <c r="C102" s="1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1"/>
    </row>
    <row r="103" spans="1:27" ht="16.5" customHeight="1" x14ac:dyDescent="0.25">
      <c r="A103" s="1"/>
      <c r="B103" s="1"/>
      <c r="C103" s="1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1"/>
    </row>
    <row r="104" spans="1:27" ht="16.5" customHeight="1" x14ac:dyDescent="0.25">
      <c r="A104" s="1"/>
      <c r="B104" s="1"/>
      <c r="C104" s="1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1"/>
    </row>
    <row r="105" spans="1:27" ht="16.5" customHeight="1" x14ac:dyDescent="0.25">
      <c r="A105" s="1"/>
      <c r="B105" s="1"/>
      <c r="C105" s="1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1"/>
    </row>
    <row r="106" spans="1:27" ht="16.5" customHeight="1" x14ac:dyDescent="0.25">
      <c r="A106" s="1"/>
      <c r="B106" s="1"/>
      <c r="C106" s="1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1"/>
    </row>
    <row r="107" spans="1:27" ht="16.5" customHeight="1" x14ac:dyDescent="0.25">
      <c r="A107" s="1"/>
      <c r="B107" s="1"/>
      <c r="C107" s="1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1"/>
    </row>
    <row r="108" spans="1:27" ht="16.5" customHeight="1" x14ac:dyDescent="0.25">
      <c r="A108" s="1"/>
      <c r="B108" s="1"/>
      <c r="C108" s="1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1"/>
    </row>
    <row r="109" spans="1:27" ht="16.5" customHeight="1" x14ac:dyDescent="0.25">
      <c r="A109" s="1"/>
      <c r="B109" s="1"/>
      <c r="C109" s="1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1"/>
    </row>
    <row r="110" spans="1:27" ht="16.5" customHeight="1" x14ac:dyDescent="0.25">
      <c r="A110" s="1"/>
      <c r="B110" s="1"/>
      <c r="C110" s="1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1"/>
    </row>
    <row r="111" spans="1:27" ht="16.5" customHeight="1" x14ac:dyDescent="0.25">
      <c r="A111" s="1"/>
      <c r="B111" s="1"/>
      <c r="C111" s="1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1"/>
    </row>
    <row r="112" spans="1:27" ht="16.5" customHeight="1" x14ac:dyDescent="0.25">
      <c r="A112" s="1"/>
      <c r="B112" s="1"/>
      <c r="C112" s="1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1"/>
    </row>
    <row r="113" spans="1:27" ht="16.5" customHeight="1" x14ac:dyDescent="0.25">
      <c r="A113" s="1"/>
      <c r="B113" s="1"/>
      <c r="C113" s="1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1"/>
    </row>
    <row r="114" spans="1:27" ht="16.5" customHeight="1" x14ac:dyDescent="0.25">
      <c r="A114" s="1"/>
      <c r="B114" s="1"/>
      <c r="C114" s="1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1"/>
    </row>
    <row r="115" spans="1:27" ht="16.5" customHeight="1" x14ac:dyDescent="0.25">
      <c r="A115" s="1"/>
      <c r="B115" s="1"/>
      <c r="C115" s="1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1"/>
    </row>
    <row r="116" spans="1:27" ht="16.5" customHeight="1" x14ac:dyDescent="0.25">
      <c r="A116" s="1"/>
      <c r="B116" s="1"/>
      <c r="C116" s="1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1"/>
    </row>
    <row r="117" spans="1:27" ht="16.5" customHeight="1" x14ac:dyDescent="0.25">
      <c r="A117" s="1"/>
      <c r="B117" s="1"/>
      <c r="C117" s="1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1"/>
    </row>
    <row r="118" spans="1:27" ht="16.5" customHeight="1" x14ac:dyDescent="0.25">
      <c r="A118" s="1"/>
      <c r="B118" s="1"/>
      <c r="C118" s="1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1"/>
    </row>
    <row r="119" spans="1:27" ht="16.5" customHeight="1" x14ac:dyDescent="0.25">
      <c r="A119" s="1"/>
      <c r="B119" s="1"/>
      <c r="C119" s="1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1"/>
    </row>
    <row r="120" spans="1:27" ht="16.5" customHeight="1" x14ac:dyDescent="0.25">
      <c r="A120" s="1"/>
      <c r="B120" s="1"/>
      <c r="C120" s="1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1"/>
    </row>
    <row r="121" spans="1:27" ht="16.5" customHeight="1" x14ac:dyDescent="0.25">
      <c r="A121" s="1"/>
      <c r="B121" s="1"/>
      <c r="C121" s="1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1"/>
    </row>
    <row r="122" spans="1:27" ht="16.5" customHeight="1" x14ac:dyDescent="0.25">
      <c r="A122" s="1"/>
      <c r="B122" s="1"/>
      <c r="C122" s="1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1"/>
    </row>
    <row r="123" spans="1:27" ht="16.5" customHeight="1" x14ac:dyDescent="0.25">
      <c r="A123" s="1"/>
      <c r="B123" s="1"/>
      <c r="C123" s="1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1"/>
    </row>
    <row r="124" spans="1:27" ht="16.5" customHeight="1" x14ac:dyDescent="0.25">
      <c r="A124" s="1"/>
      <c r="B124" s="1"/>
      <c r="C124" s="1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1"/>
    </row>
    <row r="125" spans="1:27" ht="16.5" customHeight="1" x14ac:dyDescent="0.25">
      <c r="A125" s="1"/>
      <c r="B125" s="1"/>
      <c r="C125" s="1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1"/>
    </row>
    <row r="126" spans="1:27" ht="16.5" customHeight="1" x14ac:dyDescent="0.25">
      <c r="A126" s="1"/>
      <c r="B126" s="1"/>
      <c r="C126" s="1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1"/>
    </row>
    <row r="127" spans="1:27" ht="16.5" customHeight="1" x14ac:dyDescent="0.25">
      <c r="A127" s="1"/>
      <c r="B127" s="1"/>
      <c r="C127" s="1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1"/>
    </row>
    <row r="128" spans="1:27" ht="16.5" customHeight="1" x14ac:dyDescent="0.25">
      <c r="A128" s="1"/>
      <c r="B128" s="1"/>
      <c r="C128" s="1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1"/>
    </row>
    <row r="129" spans="1:27" ht="16.5" customHeight="1" x14ac:dyDescent="0.25">
      <c r="A129" s="1"/>
      <c r="B129" s="1"/>
      <c r="C129" s="1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1"/>
    </row>
    <row r="130" spans="1:27" ht="16.5" customHeight="1" x14ac:dyDescent="0.25">
      <c r="A130" s="1"/>
      <c r="B130" s="1"/>
      <c r="C130" s="1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1"/>
    </row>
    <row r="131" spans="1:27" ht="16.5" customHeight="1" x14ac:dyDescent="0.25">
      <c r="A131" s="1"/>
      <c r="B131" s="1"/>
      <c r="C131" s="1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1"/>
    </row>
    <row r="132" spans="1:27" ht="16.5" customHeight="1" x14ac:dyDescent="0.25">
      <c r="A132" s="1"/>
      <c r="B132" s="1"/>
      <c r="C132" s="1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1"/>
    </row>
    <row r="133" spans="1:27" ht="16.5" customHeight="1" x14ac:dyDescent="0.25">
      <c r="A133" s="1"/>
      <c r="B133" s="1"/>
      <c r="C133" s="1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1"/>
    </row>
    <row r="134" spans="1:27" ht="16.5" customHeight="1" x14ac:dyDescent="0.25">
      <c r="A134" s="1"/>
      <c r="B134" s="1"/>
      <c r="C134" s="1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1"/>
    </row>
    <row r="135" spans="1:27" ht="16.5" customHeight="1" x14ac:dyDescent="0.25">
      <c r="A135" s="1"/>
      <c r="B135" s="1"/>
      <c r="C135" s="1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1"/>
    </row>
    <row r="136" spans="1:27" ht="16.5" customHeight="1" x14ac:dyDescent="0.25">
      <c r="A136" s="1"/>
      <c r="B136" s="1"/>
      <c r="C136" s="1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1"/>
    </row>
    <row r="137" spans="1:27" ht="16.5" customHeight="1" x14ac:dyDescent="0.25">
      <c r="A137" s="1"/>
      <c r="B137" s="1"/>
      <c r="C137" s="1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1"/>
    </row>
    <row r="138" spans="1:27" ht="16.5" customHeight="1" x14ac:dyDescent="0.25">
      <c r="A138" s="1"/>
      <c r="B138" s="1"/>
      <c r="C138" s="1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1"/>
    </row>
    <row r="139" spans="1:27" ht="16.5" customHeight="1" x14ac:dyDescent="0.25">
      <c r="A139" s="1"/>
      <c r="B139" s="1"/>
      <c r="C139" s="1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1"/>
    </row>
    <row r="140" spans="1:27" ht="16.5" customHeight="1" x14ac:dyDescent="0.25">
      <c r="A140" s="1"/>
      <c r="B140" s="1"/>
      <c r="C140" s="1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1"/>
    </row>
    <row r="141" spans="1:27" ht="16.5" customHeight="1" x14ac:dyDescent="0.25">
      <c r="A141" s="1"/>
      <c r="B141" s="1"/>
      <c r="C141" s="1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1"/>
    </row>
    <row r="142" spans="1:27" ht="16.5" customHeight="1" x14ac:dyDescent="0.25">
      <c r="A142" s="1"/>
      <c r="B142" s="1"/>
      <c r="C142" s="1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1"/>
    </row>
    <row r="143" spans="1:27" ht="16.5" customHeight="1" x14ac:dyDescent="0.25">
      <c r="A143" s="1"/>
      <c r="B143" s="1"/>
      <c r="C143" s="1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1"/>
    </row>
    <row r="144" spans="1:27" ht="16.5" customHeight="1" x14ac:dyDescent="0.25">
      <c r="A144" s="1"/>
      <c r="B144" s="1"/>
      <c r="C144" s="1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1"/>
    </row>
    <row r="145" spans="1:27" ht="16.5" customHeight="1" x14ac:dyDescent="0.25">
      <c r="A145" s="1"/>
      <c r="B145" s="1"/>
      <c r="C145" s="1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1"/>
    </row>
    <row r="146" spans="1:27" ht="16.5" customHeight="1" x14ac:dyDescent="0.25">
      <c r="A146" s="1"/>
      <c r="B146" s="1"/>
      <c r="C146" s="1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1"/>
    </row>
    <row r="147" spans="1:27" ht="16.5" customHeight="1" x14ac:dyDescent="0.25">
      <c r="A147" s="1"/>
      <c r="B147" s="1"/>
      <c r="C147" s="1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1"/>
    </row>
    <row r="148" spans="1:27" ht="16.5" customHeight="1" x14ac:dyDescent="0.25">
      <c r="A148" s="1"/>
      <c r="B148" s="1"/>
      <c r="C148" s="1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1"/>
    </row>
    <row r="149" spans="1:27" ht="16.5" customHeight="1" x14ac:dyDescent="0.25">
      <c r="A149" s="1"/>
      <c r="B149" s="1"/>
      <c r="C149" s="1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1"/>
    </row>
    <row r="150" spans="1:27" ht="16.5" customHeight="1" x14ac:dyDescent="0.25">
      <c r="A150" s="1"/>
      <c r="B150" s="1"/>
      <c r="C150" s="1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1"/>
    </row>
    <row r="151" spans="1:27" ht="16.5" customHeight="1" x14ac:dyDescent="0.25">
      <c r="A151" s="1"/>
      <c r="B151" s="1"/>
      <c r="C151" s="1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1"/>
    </row>
    <row r="152" spans="1:27" ht="16.5" customHeight="1" x14ac:dyDescent="0.25">
      <c r="A152" s="1"/>
      <c r="B152" s="1"/>
      <c r="C152" s="1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1"/>
    </row>
    <row r="153" spans="1:27" ht="16.5" customHeight="1" x14ac:dyDescent="0.25">
      <c r="A153" s="1"/>
      <c r="B153" s="1"/>
      <c r="C153" s="1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1"/>
    </row>
    <row r="154" spans="1:27" ht="16.5" customHeight="1" x14ac:dyDescent="0.25">
      <c r="A154" s="1"/>
      <c r="B154" s="1"/>
      <c r="C154" s="1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1"/>
    </row>
    <row r="155" spans="1:27" ht="16.5" customHeight="1" x14ac:dyDescent="0.25">
      <c r="A155" s="1"/>
      <c r="B155" s="1"/>
      <c r="C155" s="1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1"/>
    </row>
    <row r="156" spans="1:27" ht="16.5" customHeight="1" x14ac:dyDescent="0.25">
      <c r="A156" s="1"/>
      <c r="B156" s="1"/>
      <c r="C156" s="1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1"/>
    </row>
    <row r="157" spans="1:27" ht="16.5" customHeight="1" x14ac:dyDescent="0.25">
      <c r="A157" s="1"/>
      <c r="B157" s="1"/>
      <c r="C157" s="1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1"/>
    </row>
    <row r="158" spans="1:27" ht="16.5" customHeight="1" x14ac:dyDescent="0.25">
      <c r="A158" s="1"/>
      <c r="B158" s="1"/>
      <c r="C158" s="1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1"/>
    </row>
    <row r="159" spans="1:27" ht="16.5" customHeight="1" x14ac:dyDescent="0.25">
      <c r="A159" s="1"/>
      <c r="B159" s="1"/>
      <c r="C159" s="1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1"/>
    </row>
    <row r="160" spans="1:27" ht="16.5" customHeight="1" x14ac:dyDescent="0.25">
      <c r="A160" s="1"/>
      <c r="B160" s="1"/>
      <c r="C160" s="1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1"/>
    </row>
    <row r="161" spans="1:27" ht="16.5" customHeight="1" x14ac:dyDescent="0.25">
      <c r="A161" s="1"/>
      <c r="B161" s="1"/>
      <c r="C161" s="1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1"/>
    </row>
    <row r="162" spans="1:27" ht="16.5" customHeight="1" x14ac:dyDescent="0.25">
      <c r="A162" s="1"/>
      <c r="B162" s="1"/>
      <c r="C162" s="1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1"/>
    </row>
    <row r="163" spans="1:27" ht="16.5" customHeight="1" x14ac:dyDescent="0.25">
      <c r="A163" s="1"/>
      <c r="B163" s="1"/>
      <c r="C163" s="1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1"/>
    </row>
    <row r="164" spans="1:27" ht="16.5" customHeight="1" x14ac:dyDescent="0.25">
      <c r="A164" s="1"/>
      <c r="B164" s="1"/>
      <c r="C164" s="1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1"/>
    </row>
    <row r="165" spans="1:27" ht="16.5" customHeight="1" x14ac:dyDescent="0.25">
      <c r="A165" s="1"/>
      <c r="B165" s="1"/>
      <c r="C165" s="1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1"/>
    </row>
    <row r="166" spans="1:27" ht="16.5" customHeight="1" x14ac:dyDescent="0.25">
      <c r="A166" s="1"/>
      <c r="B166" s="1"/>
      <c r="C166" s="1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1"/>
    </row>
    <row r="167" spans="1:27" ht="16.5" customHeight="1" x14ac:dyDescent="0.25">
      <c r="A167" s="1"/>
      <c r="B167" s="1"/>
      <c r="C167" s="1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1"/>
    </row>
    <row r="168" spans="1:27" ht="16.5" customHeight="1" x14ac:dyDescent="0.25">
      <c r="A168" s="1"/>
      <c r="B168" s="1"/>
      <c r="C168" s="1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1"/>
    </row>
    <row r="169" spans="1:27" ht="16.5" customHeight="1" x14ac:dyDescent="0.25">
      <c r="A169" s="1"/>
      <c r="B169" s="1"/>
      <c r="C169" s="1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1"/>
    </row>
    <row r="170" spans="1:27" ht="16.5" customHeight="1" x14ac:dyDescent="0.25">
      <c r="A170" s="1"/>
      <c r="B170" s="1"/>
      <c r="C170" s="1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1"/>
    </row>
    <row r="171" spans="1:27" ht="16.5" customHeight="1" x14ac:dyDescent="0.25">
      <c r="A171" s="1"/>
      <c r="B171" s="1"/>
      <c r="C171" s="1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1"/>
    </row>
    <row r="172" spans="1:27" ht="16.5" customHeight="1" x14ac:dyDescent="0.25">
      <c r="A172" s="1"/>
      <c r="B172" s="1"/>
      <c r="C172" s="1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1"/>
    </row>
    <row r="173" spans="1:27" ht="16.5" customHeight="1" x14ac:dyDescent="0.25">
      <c r="A173" s="1"/>
      <c r="B173" s="1"/>
      <c r="C173" s="1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1"/>
    </row>
    <row r="174" spans="1:27" ht="16.5" customHeight="1" x14ac:dyDescent="0.25">
      <c r="A174" s="1"/>
      <c r="B174" s="1"/>
      <c r="C174" s="1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1"/>
    </row>
    <row r="175" spans="1:27" ht="16.5" customHeight="1" x14ac:dyDescent="0.25">
      <c r="A175" s="1"/>
      <c r="B175" s="1"/>
      <c r="C175" s="1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1"/>
    </row>
    <row r="176" spans="1:27" ht="16.5" customHeight="1" x14ac:dyDescent="0.25">
      <c r="A176" s="1"/>
      <c r="B176" s="1"/>
      <c r="C176" s="1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1"/>
    </row>
    <row r="177" spans="1:27" ht="16.5" customHeight="1" x14ac:dyDescent="0.25">
      <c r="A177" s="1"/>
      <c r="B177" s="1"/>
      <c r="C177" s="1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1"/>
    </row>
    <row r="178" spans="1:27" ht="16.5" customHeight="1" x14ac:dyDescent="0.25">
      <c r="A178" s="1"/>
      <c r="B178" s="1"/>
      <c r="C178" s="1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1"/>
    </row>
    <row r="179" spans="1:27" ht="16.5" customHeight="1" x14ac:dyDescent="0.25">
      <c r="A179" s="1"/>
      <c r="B179" s="1"/>
      <c r="C179" s="1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1"/>
    </row>
    <row r="180" spans="1:27" ht="16.5" customHeight="1" x14ac:dyDescent="0.25">
      <c r="A180" s="1"/>
      <c r="B180" s="1"/>
      <c r="C180" s="1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1"/>
    </row>
    <row r="181" spans="1:27" ht="16.5" customHeight="1" x14ac:dyDescent="0.25">
      <c r="A181" s="1"/>
      <c r="B181" s="1"/>
      <c r="C181" s="1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1"/>
    </row>
    <row r="182" spans="1:27" ht="16.5" customHeight="1" x14ac:dyDescent="0.25">
      <c r="A182" s="1"/>
      <c r="B182" s="1"/>
      <c r="C182" s="1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1"/>
    </row>
    <row r="183" spans="1:27" ht="16.5" customHeight="1" x14ac:dyDescent="0.25">
      <c r="A183" s="1"/>
      <c r="B183" s="1"/>
      <c r="C183" s="1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1"/>
    </row>
    <row r="184" spans="1:27" ht="16.5" customHeight="1" x14ac:dyDescent="0.25">
      <c r="A184" s="1"/>
      <c r="B184" s="1"/>
      <c r="C184" s="1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1"/>
    </row>
    <row r="185" spans="1:27" ht="16.5" customHeight="1" x14ac:dyDescent="0.25">
      <c r="A185" s="1"/>
      <c r="B185" s="1"/>
      <c r="C185" s="1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1"/>
    </row>
    <row r="186" spans="1:27" ht="16.5" customHeight="1" x14ac:dyDescent="0.25">
      <c r="A186" s="1"/>
      <c r="B186" s="1"/>
      <c r="C186" s="1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1"/>
    </row>
    <row r="187" spans="1:27" ht="16.5" customHeight="1" x14ac:dyDescent="0.25">
      <c r="A187" s="1"/>
      <c r="B187" s="1"/>
      <c r="C187" s="1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1"/>
    </row>
    <row r="188" spans="1:27" ht="16.5" customHeight="1" x14ac:dyDescent="0.25">
      <c r="A188" s="1"/>
      <c r="B188" s="1"/>
      <c r="C188" s="1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1"/>
    </row>
    <row r="189" spans="1:27" ht="16.5" customHeight="1" x14ac:dyDescent="0.25">
      <c r="A189" s="1"/>
      <c r="B189" s="1"/>
      <c r="C189" s="1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1"/>
    </row>
    <row r="190" spans="1:27" ht="16.5" customHeight="1" x14ac:dyDescent="0.25">
      <c r="A190" s="1"/>
      <c r="B190" s="1"/>
      <c r="C190" s="1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1"/>
    </row>
    <row r="191" spans="1:27" ht="16.5" customHeight="1" x14ac:dyDescent="0.25">
      <c r="A191" s="1"/>
      <c r="B191" s="1"/>
      <c r="C191" s="1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1"/>
    </row>
    <row r="192" spans="1:27" ht="16.5" customHeight="1" x14ac:dyDescent="0.25">
      <c r="A192" s="1"/>
      <c r="B192" s="1"/>
      <c r="C192" s="1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1"/>
    </row>
    <row r="193" spans="1:27" ht="16.5" customHeight="1" x14ac:dyDescent="0.25">
      <c r="A193" s="1"/>
      <c r="B193" s="1"/>
      <c r="C193" s="1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1"/>
    </row>
    <row r="194" spans="1:27" ht="16.5" customHeight="1" x14ac:dyDescent="0.25">
      <c r="A194" s="1"/>
      <c r="B194" s="1"/>
      <c r="C194" s="1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1"/>
    </row>
    <row r="195" spans="1:27" ht="16.5" customHeight="1" x14ac:dyDescent="0.25">
      <c r="A195" s="1"/>
      <c r="B195" s="1"/>
      <c r="C195" s="1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1"/>
    </row>
    <row r="196" spans="1:27" ht="16.5" customHeight="1" x14ac:dyDescent="0.25">
      <c r="A196" s="1"/>
      <c r="B196" s="1"/>
      <c r="C196" s="1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1"/>
    </row>
    <row r="197" spans="1:27" ht="16.5" customHeight="1" x14ac:dyDescent="0.25">
      <c r="A197" s="1"/>
      <c r="B197" s="1"/>
      <c r="C197" s="1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1"/>
    </row>
    <row r="198" spans="1:27" ht="16.5" customHeight="1" x14ac:dyDescent="0.25">
      <c r="A198" s="1"/>
      <c r="B198" s="1"/>
      <c r="C198" s="1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1"/>
    </row>
    <row r="199" spans="1:27" ht="16.5" customHeight="1" x14ac:dyDescent="0.25">
      <c r="A199" s="1"/>
      <c r="B199" s="1"/>
      <c r="C199" s="1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1"/>
    </row>
    <row r="200" spans="1:27" ht="16.5" customHeight="1" x14ac:dyDescent="0.25">
      <c r="A200" s="1"/>
      <c r="B200" s="1"/>
      <c r="C200" s="1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1"/>
    </row>
    <row r="201" spans="1:27" ht="16.5" customHeight="1" x14ac:dyDescent="0.25">
      <c r="A201" s="1"/>
      <c r="B201" s="1"/>
      <c r="C201" s="1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1"/>
    </row>
    <row r="202" spans="1:27" ht="16.5" customHeight="1" x14ac:dyDescent="0.25">
      <c r="A202" s="1"/>
      <c r="B202" s="1"/>
      <c r="C202" s="1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1"/>
    </row>
    <row r="203" spans="1:27" ht="16.5" customHeight="1" x14ac:dyDescent="0.25">
      <c r="A203" s="1"/>
      <c r="B203" s="1"/>
      <c r="C203" s="1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1"/>
    </row>
    <row r="204" spans="1:27" ht="16.5" customHeight="1" x14ac:dyDescent="0.25">
      <c r="A204" s="1"/>
      <c r="B204" s="1"/>
      <c r="C204" s="1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1"/>
    </row>
    <row r="205" spans="1:27" ht="16.5" customHeight="1" x14ac:dyDescent="0.25">
      <c r="A205" s="1"/>
      <c r="B205" s="1"/>
      <c r="C205" s="1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1"/>
    </row>
    <row r="206" spans="1:27" ht="16.5" customHeight="1" x14ac:dyDescent="0.25">
      <c r="A206" s="1"/>
      <c r="B206" s="1"/>
      <c r="C206" s="1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1"/>
    </row>
    <row r="207" spans="1:27" ht="16.5" customHeight="1" x14ac:dyDescent="0.25">
      <c r="A207" s="1"/>
      <c r="B207" s="1"/>
      <c r="C207" s="1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1"/>
    </row>
    <row r="208" spans="1:27" ht="16.5" customHeight="1" x14ac:dyDescent="0.25">
      <c r="A208" s="1"/>
      <c r="B208" s="1"/>
      <c r="C208" s="1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1"/>
    </row>
    <row r="209" spans="1:27" ht="16.5" customHeight="1" x14ac:dyDescent="0.25">
      <c r="A209" s="1"/>
      <c r="B209" s="1"/>
      <c r="C209" s="1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1"/>
    </row>
    <row r="210" spans="1:27" ht="16.5" customHeight="1" x14ac:dyDescent="0.25">
      <c r="A210" s="1"/>
      <c r="B210" s="1"/>
      <c r="C210" s="1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1"/>
    </row>
    <row r="211" spans="1:27" ht="16.5" customHeight="1" x14ac:dyDescent="0.25">
      <c r="A211" s="1"/>
      <c r="B211" s="1"/>
      <c r="C211" s="1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1"/>
    </row>
    <row r="212" spans="1:27" ht="16.5" customHeight="1" x14ac:dyDescent="0.25">
      <c r="A212" s="1"/>
      <c r="B212" s="1"/>
      <c r="C212" s="1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1"/>
    </row>
    <row r="213" spans="1:27" ht="16.5" customHeight="1" x14ac:dyDescent="0.25">
      <c r="A213" s="1"/>
      <c r="B213" s="1"/>
      <c r="C213" s="1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1"/>
    </row>
    <row r="214" spans="1:27" ht="16.5" customHeight="1" x14ac:dyDescent="0.25">
      <c r="A214" s="1"/>
      <c r="B214" s="1"/>
      <c r="C214" s="1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1"/>
    </row>
    <row r="215" spans="1:27" ht="16.5" customHeight="1" x14ac:dyDescent="0.25">
      <c r="A215" s="1"/>
      <c r="B215" s="1"/>
      <c r="C215" s="1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1"/>
    </row>
    <row r="216" spans="1:27" ht="16.5" customHeight="1" x14ac:dyDescent="0.25">
      <c r="A216" s="1"/>
      <c r="B216" s="1"/>
      <c r="C216" s="1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1"/>
    </row>
    <row r="217" spans="1:27" ht="16.5" customHeight="1" x14ac:dyDescent="0.25">
      <c r="A217" s="1"/>
      <c r="B217" s="1"/>
      <c r="C217" s="1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1"/>
    </row>
    <row r="218" spans="1:27" ht="16.5" customHeight="1" x14ac:dyDescent="0.25">
      <c r="A218" s="1"/>
      <c r="B218" s="1"/>
      <c r="C218" s="1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1"/>
    </row>
    <row r="219" spans="1:27" ht="16.5" customHeight="1" x14ac:dyDescent="0.25">
      <c r="A219" s="1"/>
      <c r="B219" s="1"/>
      <c r="C219" s="1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1"/>
    </row>
    <row r="220" spans="1:27" ht="16.5" customHeight="1" x14ac:dyDescent="0.25">
      <c r="A220" s="1"/>
      <c r="B220" s="1"/>
      <c r="C220" s="1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1"/>
    </row>
    <row r="221" spans="1:27" ht="16.5" customHeight="1" x14ac:dyDescent="0.25">
      <c r="A221" s="1"/>
      <c r="B221" s="1"/>
      <c r="C221" s="1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1"/>
    </row>
    <row r="222" spans="1:27" ht="16.5" customHeight="1" x14ac:dyDescent="0.25">
      <c r="A222" s="1"/>
      <c r="B222" s="1"/>
      <c r="C222" s="1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1"/>
    </row>
    <row r="223" spans="1:27" ht="16.5" customHeight="1" x14ac:dyDescent="0.25">
      <c r="A223" s="1"/>
      <c r="B223" s="1"/>
      <c r="C223" s="1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1"/>
    </row>
    <row r="224" spans="1:27" ht="16.5" customHeight="1" x14ac:dyDescent="0.25">
      <c r="A224" s="1"/>
      <c r="B224" s="1"/>
      <c r="C224" s="1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1"/>
    </row>
    <row r="225" spans="1:27" ht="16.5" customHeight="1" x14ac:dyDescent="0.25">
      <c r="A225" s="1"/>
      <c r="B225" s="1"/>
      <c r="C225" s="1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1"/>
    </row>
    <row r="226" spans="1:27" ht="16.5" customHeight="1" x14ac:dyDescent="0.25">
      <c r="A226" s="1"/>
      <c r="B226" s="1"/>
      <c r="C226" s="1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1"/>
    </row>
    <row r="227" spans="1:27" ht="16.5" customHeight="1" x14ac:dyDescent="0.25">
      <c r="A227" s="1"/>
      <c r="B227" s="1"/>
      <c r="C227" s="1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1"/>
    </row>
    <row r="228" spans="1:27" ht="16.5" customHeight="1" x14ac:dyDescent="0.25">
      <c r="A228" s="1"/>
      <c r="B228" s="1"/>
      <c r="C228" s="1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1"/>
    </row>
    <row r="229" spans="1:27" ht="16.5" customHeight="1" x14ac:dyDescent="0.25">
      <c r="A229" s="1"/>
      <c r="B229" s="1"/>
      <c r="C229" s="1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1"/>
    </row>
    <row r="230" spans="1:27" ht="16.5" customHeight="1" x14ac:dyDescent="0.25">
      <c r="A230" s="1"/>
      <c r="B230" s="1"/>
      <c r="C230" s="1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1"/>
    </row>
    <row r="231" spans="1:27" ht="16.5" customHeight="1" x14ac:dyDescent="0.25">
      <c r="A231" s="1"/>
      <c r="B231" s="1"/>
      <c r="C231" s="1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1"/>
    </row>
    <row r="232" spans="1:27" ht="16.5" customHeight="1" x14ac:dyDescent="0.25">
      <c r="A232" s="1"/>
      <c r="B232" s="1"/>
      <c r="C232" s="1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1"/>
    </row>
    <row r="233" spans="1:27" ht="16.5" customHeight="1" x14ac:dyDescent="0.25">
      <c r="A233" s="1"/>
      <c r="B233" s="1"/>
      <c r="C233" s="1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1"/>
    </row>
    <row r="234" spans="1:27" ht="15.75" customHeight="1" x14ac:dyDescent="0.25"/>
    <row r="235" spans="1:27" ht="15.75" customHeight="1" x14ac:dyDescent="0.25"/>
    <row r="236" spans="1:27" ht="15.75" customHeight="1" x14ac:dyDescent="0.25"/>
    <row r="237" spans="1:27" ht="15.75" customHeight="1" x14ac:dyDescent="0.25"/>
    <row r="238" spans="1:27" ht="15.75" customHeight="1" x14ac:dyDescent="0.25"/>
    <row r="239" spans="1:27" ht="15.75" customHeight="1" x14ac:dyDescent="0.25"/>
    <row r="240" spans="1:27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16">
    <mergeCell ref="B33:C33"/>
    <mergeCell ref="A11:A33"/>
    <mergeCell ref="B16:C16"/>
    <mergeCell ref="B26:C26"/>
    <mergeCell ref="B28:C28"/>
    <mergeCell ref="B30:C30"/>
    <mergeCell ref="B11:B15"/>
    <mergeCell ref="B19:B25"/>
    <mergeCell ref="B31:B32"/>
    <mergeCell ref="A1:AA2"/>
    <mergeCell ref="B3:D3"/>
    <mergeCell ref="D5:D8"/>
    <mergeCell ref="N5:O5"/>
    <mergeCell ref="N6:O6"/>
    <mergeCell ref="N7:O7"/>
    <mergeCell ref="N8:O8"/>
  </mergeCells>
  <pageMargins left="0.7" right="0.7" top="0.75" bottom="0.75" header="0" footer="0"/>
  <pageSetup paperSize="9" scale="6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A1000"/>
  <sheetViews>
    <sheetView topLeftCell="A8" workbookViewId="0">
      <selection activeCell="J26" sqref="J26"/>
    </sheetView>
  </sheetViews>
  <sheetFormatPr defaultColWidth="12.59765625" defaultRowHeight="15" customHeight="1" x14ac:dyDescent="0.25"/>
  <cols>
    <col min="1" max="1" width="8" customWidth="1"/>
    <col min="2" max="2" width="19" customWidth="1"/>
    <col min="3" max="3" width="40.8984375" customWidth="1"/>
    <col min="4" max="4" width="14.5" customWidth="1"/>
    <col min="5" max="5" width="7.3984375" customWidth="1"/>
    <col min="6" max="6" width="7.296875" customWidth="1"/>
    <col min="7" max="7" width="5.09765625" customWidth="1"/>
    <col min="8" max="8" width="4.59765625" customWidth="1"/>
    <col min="9" max="9" width="4.5" customWidth="1"/>
    <col min="10" max="10" width="5.3984375" customWidth="1"/>
    <col min="11" max="11" width="4.3984375" customWidth="1"/>
    <col min="12" max="12" width="4.09765625" customWidth="1"/>
    <col min="13" max="13" width="4.8984375" customWidth="1"/>
    <col min="14" max="14" width="4.796875" customWidth="1"/>
    <col min="15" max="15" width="5.09765625" customWidth="1"/>
    <col min="16" max="16" width="4.69921875" customWidth="1"/>
    <col min="17" max="17" width="5.09765625" customWidth="1"/>
    <col min="18" max="18" width="4.3984375" customWidth="1"/>
    <col min="19" max="20" width="4.5" customWidth="1"/>
    <col min="21" max="21" width="4.19921875" customWidth="1"/>
    <col min="22" max="27" width="4.69921875" customWidth="1"/>
  </cols>
  <sheetData>
    <row r="1" spans="1:27" ht="22.5" customHeight="1" x14ac:dyDescent="0.25">
      <c r="A1" s="57" t="s">
        <v>46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</row>
    <row r="2" spans="1:27" ht="15" customHeight="1" x14ac:dyDescent="0.25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</row>
    <row r="3" spans="1:27" ht="16.5" customHeight="1" x14ac:dyDescent="0.25">
      <c r="A3" s="1"/>
      <c r="B3" s="59" t="s">
        <v>1</v>
      </c>
      <c r="C3" s="58"/>
      <c r="D3" s="58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6.5" customHeight="1" x14ac:dyDescent="0.25">
      <c r="A4" s="1"/>
      <c r="B4" s="3" t="s">
        <v>2</v>
      </c>
      <c r="C4" s="3" t="s">
        <v>3</v>
      </c>
      <c r="D4" s="4" t="s">
        <v>16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6.5" customHeight="1" x14ac:dyDescent="0.3">
      <c r="A5" s="1"/>
      <c r="B5" s="5" t="s">
        <v>4</v>
      </c>
      <c r="C5" s="6">
        <f>SUMIF($D$11:$D$40,"All member",$F$11:$F$42)/4+SUMIF($D$11:$D$40,"Huy",F11:F42)</f>
        <v>69</v>
      </c>
      <c r="D5" s="60">
        <f>SUM(C5:C8)</f>
        <v>250</v>
      </c>
      <c r="E5" s="2"/>
      <c r="F5" s="2"/>
      <c r="G5" s="2"/>
      <c r="H5" s="2"/>
      <c r="I5" s="2"/>
      <c r="J5" s="2"/>
      <c r="K5" s="2"/>
      <c r="L5" s="2"/>
      <c r="M5" s="2"/>
      <c r="N5" s="2"/>
      <c r="O5" s="7"/>
      <c r="P5" s="63" t="s">
        <v>5</v>
      </c>
      <c r="Q5" s="64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6.5" customHeight="1" x14ac:dyDescent="0.3">
      <c r="A6" s="1"/>
      <c r="B6" s="5" t="s">
        <v>6</v>
      </c>
      <c r="C6" s="6">
        <f>SUMIF($D$11:$D$40,"All member",$F$11:$F$42)/4+SUMIF($D$11:$D$40,"Kha",F11:F42)+SUMIF($D$11:$D$40,"Kha, Xuan",F11:F42)/2+SUMIF($D$11:$D$40,"Kha, Xuan, Hong",F11:F42)/3</f>
        <v>69.666666666666671</v>
      </c>
      <c r="D6" s="61"/>
      <c r="E6" s="2"/>
      <c r="F6" s="2"/>
      <c r="G6" s="2"/>
      <c r="H6" s="2"/>
      <c r="I6" s="2"/>
      <c r="J6" s="2"/>
      <c r="K6" s="2"/>
      <c r="L6" s="2"/>
      <c r="M6" s="2"/>
      <c r="N6" s="2"/>
      <c r="O6" s="8"/>
      <c r="P6" s="63" t="s">
        <v>7</v>
      </c>
      <c r="Q6" s="64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6.5" customHeight="1" x14ac:dyDescent="0.3">
      <c r="A7" s="1"/>
      <c r="B7" s="5" t="s">
        <v>8</v>
      </c>
      <c r="C7" s="6">
        <f>SUMIF($D$11:$D$40,"All member",$F$11:$F$42)/4+SUMIF($D$11:$D$40,"Xuan",F11:F42)+SUMIF($D$11:$D$40,"Kha, Xuan",F11:F42)/2+SUMIF($D$11:$D$40,"Kha, Xuan, Hong",F11:F42)/3</f>
        <v>57.666666666666664</v>
      </c>
      <c r="D7" s="61"/>
      <c r="E7" s="2"/>
      <c r="F7" s="2"/>
      <c r="G7" s="2"/>
      <c r="H7" s="2"/>
      <c r="I7" s="2"/>
      <c r="J7" s="2"/>
      <c r="K7" s="2"/>
      <c r="L7" s="2"/>
      <c r="M7" s="2"/>
      <c r="N7" s="2"/>
      <c r="O7" s="9"/>
      <c r="P7" s="65" t="s">
        <v>9</v>
      </c>
      <c r="Q7" s="64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6.5" customHeight="1" x14ac:dyDescent="0.3">
      <c r="A8" s="1"/>
      <c r="B8" s="5" t="s">
        <v>10</v>
      </c>
      <c r="C8" s="6">
        <f>SUMIF($D$11:$D$40,"All member",$F$11:$F$42)/4+SUMIF($D$11:$D$40,"Hong",F11:F42)+SUMIF($D$11:$D$40,"Kha, Xuan, Hong",F11:F42)/3</f>
        <v>53.666666666666664</v>
      </c>
      <c r="D8" s="62"/>
      <c r="E8" s="2"/>
      <c r="F8" s="2"/>
      <c r="G8" s="2"/>
      <c r="H8" s="2"/>
      <c r="I8" s="2"/>
      <c r="J8" s="2"/>
      <c r="K8" s="2"/>
      <c r="L8" s="2"/>
      <c r="M8" s="2"/>
      <c r="N8" s="2"/>
      <c r="O8" s="10"/>
      <c r="P8" s="66" t="s">
        <v>11</v>
      </c>
      <c r="Q8" s="64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37.5" customHeight="1" x14ac:dyDescent="0.25">
      <c r="A9" s="1"/>
      <c r="B9" s="1"/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29" customHeight="1" x14ac:dyDescent="0.25">
      <c r="A10" s="54" t="s">
        <v>12</v>
      </c>
      <c r="B10" s="3" t="s">
        <v>13</v>
      </c>
      <c r="C10" s="3" t="s">
        <v>14</v>
      </c>
      <c r="D10" s="3" t="s">
        <v>15</v>
      </c>
      <c r="E10" s="3" t="s">
        <v>16</v>
      </c>
      <c r="F10" s="3" t="s">
        <v>47</v>
      </c>
      <c r="G10" s="11">
        <v>44522</v>
      </c>
      <c r="H10" s="11">
        <v>44523</v>
      </c>
      <c r="I10" s="11">
        <v>44524</v>
      </c>
      <c r="J10" s="11">
        <v>44525</v>
      </c>
      <c r="K10" s="11">
        <v>44526</v>
      </c>
      <c r="L10" s="11">
        <v>44527</v>
      </c>
      <c r="M10" s="11">
        <v>44528</v>
      </c>
      <c r="N10" s="11">
        <v>44529</v>
      </c>
      <c r="O10" s="11">
        <v>44530</v>
      </c>
      <c r="P10" s="11">
        <v>44531</v>
      </c>
      <c r="Q10" s="11">
        <v>44532</v>
      </c>
      <c r="R10" s="11">
        <v>44533</v>
      </c>
      <c r="S10" s="11">
        <v>44534</v>
      </c>
      <c r="T10" s="11">
        <v>44535</v>
      </c>
      <c r="U10" s="11">
        <v>44536</v>
      </c>
      <c r="V10" s="12">
        <v>44537</v>
      </c>
      <c r="W10" s="11">
        <v>44538</v>
      </c>
      <c r="X10" s="11">
        <v>44539</v>
      </c>
      <c r="Y10" s="11">
        <v>44540</v>
      </c>
      <c r="Z10" s="11">
        <v>44541</v>
      </c>
      <c r="AA10" s="11">
        <v>44542</v>
      </c>
    </row>
    <row r="11" spans="1:27" ht="16.8" x14ac:dyDescent="0.25">
      <c r="A11" s="69">
        <v>4</v>
      </c>
      <c r="B11" s="72" t="s">
        <v>17</v>
      </c>
      <c r="C11" s="13" t="s">
        <v>18</v>
      </c>
      <c r="D11" s="14" t="s">
        <v>19</v>
      </c>
      <c r="E11" s="15">
        <v>8</v>
      </c>
      <c r="F11" s="16">
        <v>8</v>
      </c>
      <c r="G11" s="16">
        <v>0</v>
      </c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spans="1:27" ht="16.8" x14ac:dyDescent="0.25">
      <c r="A12" s="69"/>
      <c r="B12" s="73"/>
      <c r="C12" s="13"/>
      <c r="D12" s="14"/>
      <c r="E12" s="15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spans="1:27" ht="16.8" x14ac:dyDescent="0.25">
      <c r="A13" s="69"/>
      <c r="B13" s="73"/>
      <c r="C13" s="13" t="s">
        <v>48</v>
      </c>
      <c r="D13" s="14" t="s">
        <v>21</v>
      </c>
      <c r="E13" s="17">
        <v>20</v>
      </c>
      <c r="F13" s="32">
        <v>30</v>
      </c>
      <c r="G13" s="17">
        <v>20</v>
      </c>
      <c r="H13" s="17">
        <v>15</v>
      </c>
      <c r="I13" s="17">
        <v>10</v>
      </c>
      <c r="J13" s="17">
        <v>5</v>
      </c>
      <c r="K13" s="16">
        <v>0</v>
      </c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spans="1:27" ht="16.8" x14ac:dyDescent="0.25">
      <c r="A14" s="69"/>
      <c r="B14" s="73"/>
      <c r="C14" s="18"/>
      <c r="D14" s="14"/>
      <c r="E14" s="19"/>
      <c r="F14" s="17"/>
      <c r="G14" s="19"/>
      <c r="H14" s="19"/>
      <c r="I14" s="17"/>
      <c r="J14" s="17"/>
      <c r="K14" s="32">
        <v>10</v>
      </c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spans="1:27" ht="16.8" x14ac:dyDescent="0.25">
      <c r="A15" s="69"/>
      <c r="B15" s="73"/>
      <c r="C15" s="18" t="s">
        <v>22</v>
      </c>
      <c r="D15" s="14" t="s">
        <v>23</v>
      </c>
      <c r="E15" s="19">
        <v>5</v>
      </c>
      <c r="F15" s="32">
        <v>7</v>
      </c>
      <c r="G15" s="19">
        <v>5</v>
      </c>
      <c r="H15" s="19">
        <v>5</v>
      </c>
      <c r="I15" s="17">
        <v>1</v>
      </c>
      <c r="J15" s="16">
        <v>0</v>
      </c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spans="1:27" ht="16.8" x14ac:dyDescent="0.25">
      <c r="A16" s="69"/>
      <c r="B16" s="73"/>
      <c r="C16" s="18"/>
      <c r="D16" s="14"/>
      <c r="E16" s="19"/>
      <c r="F16" s="17"/>
      <c r="G16" s="19"/>
      <c r="H16" s="19"/>
      <c r="I16" s="17"/>
      <c r="J16" s="32">
        <v>2</v>
      </c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spans="1:27" ht="16.8" x14ac:dyDescent="0.25">
      <c r="A17" s="69"/>
      <c r="B17" s="73"/>
      <c r="C17" s="18" t="s">
        <v>24</v>
      </c>
      <c r="D17" s="14" t="s">
        <v>23</v>
      </c>
      <c r="E17" s="19">
        <v>5</v>
      </c>
      <c r="F17" s="16">
        <v>5</v>
      </c>
      <c r="G17" s="19">
        <v>5</v>
      </c>
      <c r="H17" s="19">
        <v>5</v>
      </c>
      <c r="I17" s="17">
        <v>5</v>
      </c>
      <c r="J17" s="16">
        <v>0</v>
      </c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 spans="1:27" ht="16.8" x14ac:dyDescent="0.25">
      <c r="A18" s="69"/>
      <c r="B18" s="73"/>
      <c r="C18" s="18"/>
      <c r="D18" s="14"/>
      <c r="E18" s="19"/>
      <c r="F18" s="17"/>
      <c r="G18" s="19"/>
      <c r="H18" s="19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spans="1:27" ht="16.8" x14ac:dyDescent="0.25">
      <c r="A19" s="69"/>
      <c r="B19" s="74"/>
      <c r="C19" s="18" t="s">
        <v>25</v>
      </c>
      <c r="D19" s="14" t="s">
        <v>26</v>
      </c>
      <c r="E19" s="19">
        <v>10</v>
      </c>
      <c r="F19" s="32">
        <v>13</v>
      </c>
      <c r="G19" s="19">
        <v>10</v>
      </c>
      <c r="H19" s="19">
        <v>10</v>
      </c>
      <c r="I19" s="17">
        <v>10</v>
      </c>
      <c r="J19" s="16">
        <v>0</v>
      </c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 spans="1:27" ht="16.8" x14ac:dyDescent="0.25">
      <c r="A20" s="69"/>
      <c r="B20" s="70"/>
      <c r="C20" s="71"/>
      <c r="D20" s="14"/>
      <c r="E20" s="19"/>
      <c r="F20" s="19"/>
      <c r="G20" s="19"/>
      <c r="H20" s="19"/>
      <c r="I20" s="17"/>
      <c r="J20" s="32">
        <v>3</v>
      </c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 spans="1:27" ht="15.75" customHeight="1" x14ac:dyDescent="0.25">
      <c r="A21" s="69"/>
      <c r="B21" s="53" t="s">
        <v>27</v>
      </c>
      <c r="C21" s="18" t="s">
        <v>49</v>
      </c>
      <c r="D21" s="14" t="s">
        <v>29</v>
      </c>
      <c r="E21" s="19">
        <v>20</v>
      </c>
      <c r="F21" s="33">
        <v>20</v>
      </c>
      <c r="G21" s="19">
        <v>20</v>
      </c>
      <c r="H21" s="19">
        <v>20</v>
      </c>
      <c r="I21" s="17">
        <v>20</v>
      </c>
      <c r="J21" s="17">
        <v>20</v>
      </c>
      <c r="K21" s="16">
        <v>0</v>
      </c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 spans="1:27" ht="15.75" customHeight="1" x14ac:dyDescent="0.25">
      <c r="A22" s="69"/>
      <c r="B22" s="70"/>
      <c r="C22" s="71"/>
      <c r="D22" s="14"/>
      <c r="E22" s="19"/>
      <c r="F22" s="19"/>
      <c r="G22" s="19"/>
      <c r="H22" s="19"/>
      <c r="I22" s="19"/>
      <c r="J22" s="19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 spans="1:27" ht="15.75" customHeight="1" x14ac:dyDescent="0.3">
      <c r="A23" s="69"/>
      <c r="B23" s="72" t="s">
        <v>30</v>
      </c>
      <c r="C23" s="20" t="s">
        <v>31</v>
      </c>
      <c r="D23" s="14" t="s">
        <v>50</v>
      </c>
      <c r="E23" s="19">
        <v>20</v>
      </c>
      <c r="F23" s="34">
        <v>18</v>
      </c>
      <c r="G23" s="19">
        <v>20</v>
      </c>
      <c r="H23" s="19">
        <v>14</v>
      </c>
      <c r="I23" s="19">
        <v>10</v>
      </c>
      <c r="J23" s="19">
        <v>8</v>
      </c>
      <c r="K23" s="17">
        <v>4</v>
      </c>
      <c r="L23" s="16">
        <v>0</v>
      </c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 spans="1:27" ht="15.75" customHeight="1" x14ac:dyDescent="0.3">
      <c r="A24" s="69"/>
      <c r="B24" s="73"/>
      <c r="C24" s="20"/>
      <c r="D24" s="14"/>
      <c r="E24" s="19"/>
      <c r="F24" s="19"/>
      <c r="G24" s="19"/>
      <c r="H24" s="19"/>
      <c r="I24" s="19"/>
      <c r="J24" s="19"/>
      <c r="K24" s="17"/>
      <c r="L24" s="56">
        <v>-2</v>
      </c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 spans="1:27" ht="15.75" customHeight="1" x14ac:dyDescent="0.3">
      <c r="A25" s="69"/>
      <c r="B25" s="73"/>
      <c r="C25" s="20" t="s">
        <v>32</v>
      </c>
      <c r="D25" s="14" t="s">
        <v>23</v>
      </c>
      <c r="E25" s="21">
        <v>15</v>
      </c>
      <c r="F25" s="33">
        <v>15</v>
      </c>
      <c r="G25" s="19">
        <v>15</v>
      </c>
      <c r="H25" s="19">
        <v>15</v>
      </c>
      <c r="I25" s="19">
        <v>15</v>
      </c>
      <c r="J25" s="19">
        <v>15</v>
      </c>
      <c r="K25" s="17">
        <v>15</v>
      </c>
      <c r="L25" s="17">
        <v>15</v>
      </c>
      <c r="M25" s="17">
        <v>10</v>
      </c>
      <c r="N25" s="17">
        <v>5</v>
      </c>
      <c r="O25" s="16">
        <v>0</v>
      </c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 spans="1:27" ht="15.75" customHeight="1" x14ac:dyDescent="0.3">
      <c r="A26" s="69"/>
      <c r="B26" s="73"/>
      <c r="C26" s="20"/>
      <c r="D26" s="14"/>
      <c r="E26" s="21"/>
      <c r="F26" s="19"/>
      <c r="G26" s="19"/>
      <c r="H26" s="19"/>
      <c r="I26" s="19"/>
      <c r="J26" s="19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 spans="1:27" ht="15.75" customHeight="1" x14ac:dyDescent="0.3">
      <c r="A27" s="69"/>
      <c r="B27" s="73"/>
      <c r="C27" s="20" t="s">
        <v>51</v>
      </c>
      <c r="D27" s="14" t="s">
        <v>34</v>
      </c>
      <c r="E27" s="21">
        <v>15</v>
      </c>
      <c r="F27" s="33">
        <v>15</v>
      </c>
      <c r="G27" s="19">
        <v>15</v>
      </c>
      <c r="H27" s="19">
        <v>15</v>
      </c>
      <c r="I27" s="19">
        <v>15</v>
      </c>
      <c r="J27" s="19">
        <v>15</v>
      </c>
      <c r="K27" s="17">
        <v>15</v>
      </c>
      <c r="L27" s="17">
        <v>15</v>
      </c>
      <c r="M27" s="17">
        <v>10</v>
      </c>
      <c r="N27" s="17">
        <v>5</v>
      </c>
      <c r="O27" s="16">
        <v>0</v>
      </c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spans="1:27" ht="15.75" customHeight="1" x14ac:dyDescent="0.3">
      <c r="A28" s="69"/>
      <c r="B28" s="73"/>
      <c r="C28" s="20"/>
      <c r="D28" s="14"/>
      <c r="E28" s="21"/>
      <c r="F28" s="19"/>
      <c r="G28" s="19"/>
      <c r="H28" s="19"/>
      <c r="I28" s="19"/>
      <c r="J28" s="19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 spans="1:27" ht="15.75" customHeight="1" x14ac:dyDescent="0.3">
      <c r="A29" s="69"/>
      <c r="B29" s="73"/>
      <c r="C29" s="20" t="s">
        <v>35</v>
      </c>
      <c r="D29" s="14" t="s">
        <v>21</v>
      </c>
      <c r="E29" s="21">
        <v>10</v>
      </c>
      <c r="F29" s="35">
        <v>12</v>
      </c>
      <c r="G29" s="19">
        <v>10</v>
      </c>
      <c r="H29" s="19">
        <v>10</v>
      </c>
      <c r="I29" s="19">
        <v>10</v>
      </c>
      <c r="J29" s="19">
        <v>10</v>
      </c>
      <c r="K29" s="17">
        <v>10</v>
      </c>
      <c r="L29" s="17">
        <v>10</v>
      </c>
      <c r="M29" s="17">
        <v>10</v>
      </c>
      <c r="N29" s="17">
        <v>5</v>
      </c>
      <c r="O29" s="16">
        <v>0</v>
      </c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 spans="1:27" ht="15.75" customHeight="1" x14ac:dyDescent="0.3">
      <c r="A30" s="69"/>
      <c r="B30" s="73"/>
      <c r="C30" s="20"/>
      <c r="D30" s="14"/>
      <c r="E30" s="21"/>
      <c r="F30" s="19"/>
      <c r="G30" s="19"/>
      <c r="H30" s="19"/>
      <c r="I30" s="19"/>
      <c r="J30" s="19"/>
      <c r="K30" s="19"/>
      <c r="L30" s="17"/>
      <c r="M30" s="17"/>
      <c r="N30" s="17"/>
      <c r="O30" s="32">
        <v>2</v>
      </c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spans="1:27" ht="15.75" customHeight="1" x14ac:dyDescent="0.3">
      <c r="A31" s="69"/>
      <c r="B31" s="73"/>
      <c r="C31" s="20" t="s">
        <v>36</v>
      </c>
      <c r="D31" s="14" t="s">
        <v>26</v>
      </c>
      <c r="E31" s="21">
        <v>5</v>
      </c>
      <c r="F31" s="35">
        <v>7</v>
      </c>
      <c r="G31" s="19">
        <v>5</v>
      </c>
      <c r="H31" s="19">
        <v>5</v>
      </c>
      <c r="I31" s="19">
        <v>5</v>
      </c>
      <c r="J31" s="19">
        <v>5</v>
      </c>
      <c r="K31" s="19">
        <v>5</v>
      </c>
      <c r="L31" s="17">
        <v>5</v>
      </c>
      <c r="M31" s="17">
        <v>5</v>
      </c>
      <c r="N31" s="17">
        <v>5</v>
      </c>
      <c r="O31" s="16">
        <v>0</v>
      </c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 spans="1:27" ht="15.75" customHeight="1" x14ac:dyDescent="0.3">
      <c r="A32" s="69"/>
      <c r="B32" s="73"/>
      <c r="C32" s="20"/>
      <c r="D32" s="14"/>
      <c r="E32" s="21"/>
      <c r="F32" s="19"/>
      <c r="G32" s="19"/>
      <c r="H32" s="19"/>
      <c r="I32" s="19"/>
      <c r="J32" s="19"/>
      <c r="K32" s="19"/>
      <c r="L32" s="17"/>
      <c r="M32" s="17"/>
      <c r="N32" s="17"/>
      <c r="O32" s="32">
        <v>2</v>
      </c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 spans="1:27" ht="15.75" customHeight="1" x14ac:dyDescent="0.3">
      <c r="A33" s="69"/>
      <c r="B33" s="73"/>
      <c r="C33" s="20" t="s">
        <v>37</v>
      </c>
      <c r="D33" s="14" t="s">
        <v>19</v>
      </c>
      <c r="E33" s="21">
        <v>90</v>
      </c>
      <c r="F33" s="36">
        <v>0</v>
      </c>
      <c r="G33" s="21">
        <v>90</v>
      </c>
      <c r="H33" s="21">
        <v>90</v>
      </c>
      <c r="I33" s="21">
        <v>90</v>
      </c>
      <c r="J33" s="21">
        <v>90</v>
      </c>
      <c r="K33" s="21">
        <v>90</v>
      </c>
      <c r="L33" s="21">
        <v>90</v>
      </c>
      <c r="M33" s="21">
        <v>90</v>
      </c>
      <c r="N33" s="21">
        <v>90</v>
      </c>
      <c r="O33" s="21">
        <v>90</v>
      </c>
      <c r="P33" s="21">
        <v>90</v>
      </c>
      <c r="Q33" s="21">
        <v>90</v>
      </c>
      <c r="R33" s="21">
        <v>90</v>
      </c>
      <c r="S33" s="21">
        <v>90</v>
      </c>
      <c r="T33" s="21">
        <v>90</v>
      </c>
      <c r="U33" s="21">
        <v>90</v>
      </c>
      <c r="V33" s="22">
        <v>90</v>
      </c>
      <c r="W33" s="21">
        <v>90</v>
      </c>
      <c r="X33" s="21">
        <v>90</v>
      </c>
      <c r="Y33" s="21">
        <v>90</v>
      </c>
      <c r="Z33" s="21">
        <v>90</v>
      </c>
      <c r="AA33" s="21">
        <v>90</v>
      </c>
    </row>
    <row r="34" spans="1:27" ht="15.75" customHeight="1" x14ac:dyDescent="0.3">
      <c r="A34" s="69"/>
      <c r="B34" s="73"/>
      <c r="C34" s="20"/>
      <c r="D34" s="14"/>
      <c r="E34" s="21"/>
      <c r="F34" s="19"/>
      <c r="G34" s="19"/>
      <c r="H34" s="19"/>
      <c r="I34" s="19"/>
      <c r="J34" s="19"/>
      <c r="K34" s="19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37"/>
      <c r="W34" s="17"/>
      <c r="X34" s="17"/>
      <c r="Y34" s="17"/>
      <c r="Z34" s="17"/>
      <c r="AA34" s="17"/>
    </row>
    <row r="35" spans="1:27" ht="15.75" customHeight="1" x14ac:dyDescent="0.3">
      <c r="A35" s="69"/>
      <c r="B35" s="73"/>
      <c r="C35" s="20" t="s">
        <v>38</v>
      </c>
      <c r="D35" s="14" t="s">
        <v>19</v>
      </c>
      <c r="E35" s="21">
        <v>60</v>
      </c>
      <c r="F35" s="36">
        <v>0</v>
      </c>
      <c r="G35" s="21">
        <v>60</v>
      </c>
      <c r="H35" s="21">
        <v>60</v>
      </c>
      <c r="I35" s="21">
        <v>60</v>
      </c>
      <c r="J35" s="21">
        <v>60</v>
      </c>
      <c r="K35" s="21">
        <v>60</v>
      </c>
      <c r="L35" s="21">
        <v>60</v>
      </c>
      <c r="M35" s="21">
        <v>60</v>
      </c>
      <c r="N35" s="21">
        <v>60</v>
      </c>
      <c r="O35" s="21">
        <v>60</v>
      </c>
      <c r="P35" s="21">
        <v>60</v>
      </c>
      <c r="Q35" s="21">
        <v>60</v>
      </c>
      <c r="R35" s="21">
        <v>60</v>
      </c>
      <c r="S35" s="21">
        <v>60</v>
      </c>
      <c r="T35" s="21">
        <v>60</v>
      </c>
      <c r="U35" s="21">
        <v>60</v>
      </c>
      <c r="V35" s="21">
        <v>60</v>
      </c>
      <c r="W35" s="21">
        <v>60</v>
      </c>
      <c r="X35" s="22">
        <v>60</v>
      </c>
      <c r="Y35" s="21">
        <v>60</v>
      </c>
      <c r="Z35" s="21">
        <v>60</v>
      </c>
      <c r="AA35" s="21">
        <v>60</v>
      </c>
    </row>
    <row r="36" spans="1:27" ht="15.75" customHeight="1" x14ac:dyDescent="0.3">
      <c r="A36" s="69"/>
      <c r="B36" s="74"/>
      <c r="C36" s="20"/>
      <c r="D36" s="14"/>
      <c r="E36" s="21"/>
      <c r="F36" s="19"/>
      <c r="G36" s="19"/>
      <c r="H36" s="19"/>
      <c r="I36" s="19"/>
      <c r="J36" s="19"/>
      <c r="K36" s="19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37"/>
      <c r="W36" s="17"/>
      <c r="X36" s="17"/>
      <c r="Y36" s="17"/>
      <c r="Z36" s="17"/>
      <c r="AA36" s="17"/>
    </row>
    <row r="37" spans="1:27" ht="15.75" customHeight="1" x14ac:dyDescent="0.25">
      <c r="A37" s="69"/>
      <c r="B37" s="70"/>
      <c r="C37" s="71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7"/>
      <c r="Z37" s="17"/>
      <c r="AA37" s="17"/>
    </row>
    <row r="38" spans="1:27" ht="15.75" customHeight="1" x14ac:dyDescent="0.3">
      <c r="A38" s="69"/>
      <c r="B38" s="53" t="s">
        <v>39</v>
      </c>
      <c r="C38" s="20" t="s">
        <v>40</v>
      </c>
      <c r="D38" s="14" t="s">
        <v>19</v>
      </c>
      <c r="E38" s="21">
        <v>40</v>
      </c>
      <c r="F38" s="22">
        <v>40</v>
      </c>
      <c r="G38" s="21">
        <v>40</v>
      </c>
      <c r="H38" s="21">
        <v>40</v>
      </c>
      <c r="I38" s="21">
        <v>40</v>
      </c>
      <c r="J38" s="21">
        <v>40</v>
      </c>
      <c r="K38" s="21">
        <v>40</v>
      </c>
      <c r="L38" s="21">
        <v>40</v>
      </c>
      <c r="M38" s="21">
        <v>40</v>
      </c>
      <c r="N38" s="21">
        <v>40</v>
      </c>
      <c r="O38" s="21">
        <v>40</v>
      </c>
      <c r="P38" s="21">
        <v>40</v>
      </c>
      <c r="Q38" s="21">
        <v>40</v>
      </c>
      <c r="R38" s="21">
        <v>40</v>
      </c>
      <c r="S38" s="21">
        <v>40</v>
      </c>
      <c r="T38" s="21">
        <v>40</v>
      </c>
      <c r="U38" s="21">
        <v>40</v>
      </c>
      <c r="V38" s="21">
        <v>40</v>
      </c>
      <c r="W38" s="21">
        <v>20</v>
      </c>
      <c r="X38" s="22">
        <v>0</v>
      </c>
      <c r="Y38" s="21"/>
      <c r="Z38" s="17"/>
      <c r="AA38" s="17"/>
    </row>
    <row r="39" spans="1:27" ht="19.5" customHeight="1" x14ac:dyDescent="0.3">
      <c r="A39" s="69"/>
      <c r="B39" s="70"/>
      <c r="C39" s="71"/>
      <c r="D39" s="39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9.5" customHeight="1" x14ac:dyDescent="0.3">
      <c r="A40" s="69"/>
      <c r="B40" s="55" t="s">
        <v>41</v>
      </c>
      <c r="C40" s="38" t="s">
        <v>42</v>
      </c>
      <c r="D40" s="39" t="s">
        <v>19</v>
      </c>
      <c r="E40" s="25">
        <v>60</v>
      </c>
      <c r="F40" s="26">
        <v>60</v>
      </c>
      <c r="G40" s="25">
        <v>60</v>
      </c>
      <c r="H40" s="25">
        <v>60</v>
      </c>
      <c r="I40" s="25">
        <v>60</v>
      </c>
      <c r="J40" s="25">
        <v>60</v>
      </c>
      <c r="K40" s="25">
        <v>60</v>
      </c>
      <c r="L40" s="25">
        <v>60</v>
      </c>
      <c r="M40" s="25">
        <v>60</v>
      </c>
      <c r="N40" s="25">
        <v>60</v>
      </c>
      <c r="O40" s="25">
        <v>60</v>
      </c>
      <c r="P40" s="25">
        <v>60</v>
      </c>
      <c r="Q40" s="25">
        <v>60</v>
      </c>
      <c r="R40" s="25">
        <v>60</v>
      </c>
      <c r="S40" s="25">
        <v>60</v>
      </c>
      <c r="T40" s="25">
        <v>60</v>
      </c>
      <c r="U40" s="25">
        <v>60</v>
      </c>
      <c r="V40" s="25">
        <v>60</v>
      </c>
      <c r="W40" s="25">
        <v>60</v>
      </c>
      <c r="X40" s="25">
        <v>40</v>
      </c>
      <c r="Y40" s="25">
        <v>20</v>
      </c>
      <c r="Z40" s="26">
        <v>0</v>
      </c>
      <c r="AA40" s="25"/>
    </row>
    <row r="41" spans="1:27" ht="19.5" customHeight="1" x14ac:dyDescent="0.3">
      <c r="A41" s="69"/>
      <c r="B41" s="70"/>
      <c r="C41" s="70"/>
      <c r="D41" s="40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9.5" customHeight="1" x14ac:dyDescent="0.3">
      <c r="A42" s="69"/>
      <c r="B42" s="75" t="s">
        <v>43</v>
      </c>
      <c r="C42" s="23" t="s">
        <v>44</v>
      </c>
      <c r="D42" s="24" t="s">
        <v>19</v>
      </c>
      <c r="E42" s="25">
        <v>12</v>
      </c>
      <c r="F42" s="26">
        <v>12</v>
      </c>
      <c r="G42" s="25">
        <v>12</v>
      </c>
      <c r="H42" s="25">
        <v>12</v>
      </c>
      <c r="I42" s="25">
        <v>12</v>
      </c>
      <c r="J42" s="25">
        <v>12</v>
      </c>
      <c r="K42" s="25">
        <v>12</v>
      </c>
      <c r="L42" s="25">
        <v>12</v>
      </c>
      <c r="M42" s="25">
        <v>12</v>
      </c>
      <c r="N42" s="25">
        <v>12</v>
      </c>
      <c r="O42" s="28">
        <v>12</v>
      </c>
      <c r="P42" s="25">
        <v>12</v>
      </c>
      <c r="Q42" s="25">
        <v>12</v>
      </c>
      <c r="R42" s="25">
        <v>12</v>
      </c>
      <c r="S42" s="25">
        <v>12</v>
      </c>
      <c r="T42" s="25">
        <v>12</v>
      </c>
      <c r="U42" s="25">
        <v>12</v>
      </c>
      <c r="V42" s="25">
        <v>12</v>
      </c>
      <c r="W42" s="25">
        <v>12</v>
      </c>
      <c r="X42" s="25">
        <v>12</v>
      </c>
      <c r="Y42" s="25">
        <v>12</v>
      </c>
      <c r="Z42" s="25">
        <v>12</v>
      </c>
      <c r="AA42" s="26">
        <v>0</v>
      </c>
    </row>
    <row r="43" spans="1:27" ht="19.5" customHeight="1" x14ac:dyDescent="0.3">
      <c r="A43" s="69"/>
      <c r="B43" s="73"/>
      <c r="C43" s="52" t="s">
        <v>45</v>
      </c>
      <c r="D43" s="24" t="s">
        <v>19</v>
      </c>
      <c r="E43" s="25">
        <v>4</v>
      </c>
      <c r="F43" s="26">
        <v>4</v>
      </c>
      <c r="G43" s="25">
        <v>4</v>
      </c>
      <c r="H43" s="25">
        <v>4</v>
      </c>
      <c r="I43" s="25">
        <v>4</v>
      </c>
      <c r="J43" s="25">
        <v>4</v>
      </c>
      <c r="K43" s="25">
        <v>4</v>
      </c>
      <c r="L43" s="25">
        <v>4</v>
      </c>
      <c r="M43" s="25">
        <v>4</v>
      </c>
      <c r="N43" s="25">
        <v>4</v>
      </c>
      <c r="O43" s="28">
        <v>4</v>
      </c>
      <c r="P43" s="25">
        <v>4</v>
      </c>
      <c r="Q43" s="25">
        <v>4</v>
      </c>
      <c r="R43" s="25">
        <v>4</v>
      </c>
      <c r="S43" s="25">
        <v>4</v>
      </c>
      <c r="T43" s="25">
        <v>4</v>
      </c>
      <c r="U43" s="25">
        <v>4</v>
      </c>
      <c r="V43" s="25">
        <v>4</v>
      </c>
      <c r="W43" s="25">
        <v>4</v>
      </c>
      <c r="X43" s="25">
        <v>4</v>
      </c>
      <c r="Y43" s="25">
        <v>4</v>
      </c>
      <c r="Z43" s="25">
        <v>4</v>
      </c>
      <c r="AA43" s="26">
        <v>0</v>
      </c>
    </row>
    <row r="44" spans="1:27" ht="35.25" customHeight="1" x14ac:dyDescent="0.25">
      <c r="A44" s="69"/>
      <c r="B44" s="76"/>
      <c r="C44" s="77"/>
      <c r="D44" s="51" t="s">
        <v>16</v>
      </c>
      <c r="E44" s="31">
        <f t="shared" ref="E44:F44" si="0">SUM(E11:E43)</f>
        <v>399</v>
      </c>
      <c r="F44" s="31">
        <f t="shared" si="0"/>
        <v>266</v>
      </c>
      <c r="G44" s="31">
        <f>SUM(G12:G43)</f>
        <v>391</v>
      </c>
      <c r="H44" s="31">
        <f t="shared" ref="H44:AA44" si="1">SUM(H11:H43)</f>
        <v>380</v>
      </c>
      <c r="I44" s="31">
        <f t="shared" si="1"/>
        <v>367</v>
      </c>
      <c r="J44" s="31">
        <f t="shared" si="1"/>
        <v>349</v>
      </c>
      <c r="K44" s="31">
        <f t="shared" si="1"/>
        <v>325</v>
      </c>
      <c r="L44" s="31">
        <f t="shared" si="1"/>
        <v>309</v>
      </c>
      <c r="M44" s="31">
        <f t="shared" si="1"/>
        <v>301</v>
      </c>
      <c r="N44" s="31">
        <f t="shared" si="1"/>
        <v>286</v>
      </c>
      <c r="O44" s="15">
        <f t="shared" si="1"/>
        <v>270</v>
      </c>
      <c r="P44" s="15">
        <f t="shared" si="1"/>
        <v>266</v>
      </c>
      <c r="Q44" s="15">
        <f t="shared" si="1"/>
        <v>266</v>
      </c>
      <c r="R44" s="15">
        <f t="shared" si="1"/>
        <v>266</v>
      </c>
      <c r="S44" s="15">
        <f t="shared" si="1"/>
        <v>266</v>
      </c>
      <c r="T44" s="15">
        <f t="shared" si="1"/>
        <v>266</v>
      </c>
      <c r="U44" s="15">
        <f t="shared" si="1"/>
        <v>266</v>
      </c>
      <c r="V44" s="15">
        <f t="shared" si="1"/>
        <v>266</v>
      </c>
      <c r="W44" s="15">
        <f t="shared" si="1"/>
        <v>246</v>
      </c>
      <c r="X44" s="15">
        <f t="shared" si="1"/>
        <v>206</v>
      </c>
      <c r="Y44" s="15">
        <f t="shared" si="1"/>
        <v>186</v>
      </c>
      <c r="Z44" s="15">
        <f t="shared" si="1"/>
        <v>166</v>
      </c>
      <c r="AA44" s="15">
        <f t="shared" si="1"/>
        <v>150</v>
      </c>
    </row>
    <row r="45" spans="1:27" ht="27" customHeight="1" x14ac:dyDescent="0.25">
      <c r="A45" s="49"/>
      <c r="B45" s="50"/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45.75" customHeight="1" x14ac:dyDescent="0.25">
      <c r="A46" s="49"/>
      <c r="B46" s="50"/>
      <c r="C46" s="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5.75" customHeight="1" x14ac:dyDescent="0.25">
      <c r="A47" s="1"/>
      <c r="B47" s="1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6.5" customHeight="1" x14ac:dyDescent="0.25">
      <c r="A48" s="1"/>
      <c r="B48" s="1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1"/>
      <c r="Z48" s="1"/>
      <c r="AA48" s="1"/>
    </row>
    <row r="49" spans="1:27" ht="16.5" customHeight="1" x14ac:dyDescent="0.25">
      <c r="A49" s="1"/>
      <c r="B49" s="1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1"/>
      <c r="Z49" s="1"/>
      <c r="AA49" s="1"/>
    </row>
    <row r="50" spans="1:27" ht="16.5" customHeight="1" x14ac:dyDescent="0.25">
      <c r="A50" s="1"/>
      <c r="B50" s="1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1"/>
      <c r="Z50" s="1"/>
      <c r="AA50" s="1"/>
    </row>
    <row r="51" spans="1:27" ht="16.5" customHeight="1" x14ac:dyDescent="0.25">
      <c r="A51" s="1"/>
      <c r="B51" s="1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1"/>
      <c r="Z51" s="1"/>
      <c r="AA51" s="1"/>
    </row>
    <row r="52" spans="1:27" ht="16.5" customHeight="1" x14ac:dyDescent="0.25">
      <c r="A52" s="1"/>
      <c r="B52" s="1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1"/>
      <c r="Z52" s="1"/>
      <c r="AA52" s="1"/>
    </row>
    <row r="53" spans="1:27" ht="16.5" customHeight="1" x14ac:dyDescent="0.25">
      <c r="A53" s="1"/>
      <c r="B53" s="1"/>
      <c r="C53" s="1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6.5" customHeight="1" x14ac:dyDescent="0.25">
      <c r="A54" s="1"/>
      <c r="B54" s="1"/>
      <c r="C54" s="1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6.5" customHeight="1" x14ac:dyDescent="0.25">
      <c r="A55" s="1"/>
      <c r="B55" s="1"/>
      <c r="C55" s="1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6.5" customHeight="1" x14ac:dyDescent="0.25">
      <c r="A56" s="1"/>
      <c r="B56" s="1"/>
      <c r="C56" s="1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6.5" customHeight="1" x14ac:dyDescent="0.25">
      <c r="A57" s="1"/>
      <c r="B57" s="1"/>
      <c r="C57" s="1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6.5" customHeight="1" x14ac:dyDescent="0.25">
      <c r="A58" s="1"/>
      <c r="B58" s="1"/>
      <c r="C58" s="1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6.5" customHeight="1" x14ac:dyDescent="0.25">
      <c r="A59" s="1"/>
      <c r="B59" s="1"/>
      <c r="C59" s="1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6.5" customHeight="1" x14ac:dyDescent="0.25">
      <c r="A60" s="1"/>
      <c r="B60" s="1"/>
      <c r="C60" s="1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6.5" customHeight="1" x14ac:dyDescent="0.25">
      <c r="A61" s="1"/>
      <c r="B61" s="1"/>
      <c r="C61" s="1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6.5" customHeight="1" x14ac:dyDescent="0.25">
      <c r="A62" s="1"/>
      <c r="B62" s="1"/>
      <c r="C62" s="1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6.5" customHeight="1" x14ac:dyDescent="0.25">
      <c r="A63" s="1"/>
      <c r="B63" s="1"/>
      <c r="C63" s="1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6.5" customHeight="1" x14ac:dyDescent="0.25">
      <c r="A64" s="1"/>
      <c r="B64" s="1"/>
      <c r="C64" s="1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6.5" customHeight="1" x14ac:dyDescent="0.25">
      <c r="A65" s="1"/>
      <c r="B65" s="1"/>
      <c r="C65" s="1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6.5" customHeight="1" x14ac:dyDescent="0.25">
      <c r="A66" s="1"/>
      <c r="B66" s="1"/>
      <c r="C66" s="1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6.5" customHeight="1" x14ac:dyDescent="0.25">
      <c r="A67" s="1"/>
      <c r="B67" s="1"/>
      <c r="C67" s="1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6.5" customHeight="1" x14ac:dyDescent="0.25">
      <c r="A68" s="1"/>
      <c r="B68" s="1"/>
      <c r="C68" s="1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6.5" customHeight="1" x14ac:dyDescent="0.25">
      <c r="A69" s="1"/>
      <c r="B69" s="1"/>
      <c r="C69" s="1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6.5" customHeight="1" x14ac:dyDescent="0.25">
      <c r="A70" s="1"/>
      <c r="B70" s="1"/>
      <c r="C70" s="1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6.5" customHeight="1" x14ac:dyDescent="0.25">
      <c r="A71" s="1"/>
      <c r="B71" s="1"/>
      <c r="C71" s="1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6.5" customHeight="1" x14ac:dyDescent="0.25">
      <c r="A72" s="1"/>
      <c r="B72" s="1"/>
      <c r="C72" s="1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6.5" customHeight="1" x14ac:dyDescent="0.25">
      <c r="A73" s="1"/>
      <c r="B73" s="1"/>
      <c r="C73" s="1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6.5" customHeight="1" x14ac:dyDescent="0.25">
      <c r="A74" s="1"/>
      <c r="B74" s="1"/>
      <c r="C74" s="1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6.5" customHeight="1" x14ac:dyDescent="0.25">
      <c r="A75" s="1"/>
      <c r="B75" s="1"/>
      <c r="C75" s="1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6.5" customHeight="1" x14ac:dyDescent="0.25">
      <c r="A76" s="1"/>
      <c r="B76" s="1"/>
      <c r="C76" s="1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6.5" customHeight="1" x14ac:dyDescent="0.25">
      <c r="A77" s="1"/>
      <c r="B77" s="1"/>
      <c r="C77" s="1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6.5" customHeight="1" x14ac:dyDescent="0.25">
      <c r="A78" s="1"/>
      <c r="B78" s="1"/>
      <c r="C78" s="1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6.5" customHeight="1" x14ac:dyDescent="0.25">
      <c r="A79" s="1"/>
      <c r="B79" s="1"/>
      <c r="C79" s="1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6.5" customHeight="1" x14ac:dyDescent="0.25">
      <c r="A80" s="1"/>
      <c r="B80" s="1"/>
      <c r="C80" s="1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6.5" customHeight="1" x14ac:dyDescent="0.25">
      <c r="A81" s="1"/>
      <c r="B81" s="1"/>
      <c r="C81" s="1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6.5" customHeight="1" x14ac:dyDescent="0.25">
      <c r="A82" s="1"/>
      <c r="B82" s="1"/>
      <c r="C82" s="1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6.5" customHeight="1" x14ac:dyDescent="0.25">
      <c r="A83" s="1"/>
      <c r="B83" s="1"/>
      <c r="C83" s="1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6.5" customHeight="1" x14ac:dyDescent="0.25">
      <c r="A84" s="1"/>
      <c r="B84" s="1"/>
      <c r="C84" s="1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6.5" customHeight="1" x14ac:dyDescent="0.25">
      <c r="A85" s="1"/>
      <c r="B85" s="1"/>
      <c r="C85" s="1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6.5" customHeight="1" x14ac:dyDescent="0.25">
      <c r="A86" s="1"/>
      <c r="B86" s="1"/>
      <c r="C86" s="1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6.5" customHeight="1" x14ac:dyDescent="0.25">
      <c r="A87" s="1"/>
      <c r="B87" s="1"/>
      <c r="C87" s="1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6.5" customHeight="1" x14ac:dyDescent="0.25">
      <c r="A88" s="1"/>
      <c r="B88" s="1"/>
      <c r="C88" s="1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6.5" customHeight="1" x14ac:dyDescent="0.25">
      <c r="A89" s="1"/>
      <c r="B89" s="1"/>
      <c r="C89" s="1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6.5" customHeight="1" x14ac:dyDescent="0.25">
      <c r="A90" s="1"/>
      <c r="B90" s="1"/>
      <c r="C90" s="1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6.5" customHeight="1" x14ac:dyDescent="0.25">
      <c r="A91" s="1"/>
      <c r="B91" s="1"/>
      <c r="C91" s="1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6.5" customHeight="1" x14ac:dyDescent="0.25">
      <c r="A92" s="1"/>
      <c r="B92" s="1"/>
      <c r="C92" s="1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6.5" customHeight="1" x14ac:dyDescent="0.25">
      <c r="A93" s="1"/>
      <c r="B93" s="1"/>
      <c r="C93" s="1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6.5" customHeight="1" x14ac:dyDescent="0.25">
      <c r="A94" s="1"/>
      <c r="B94" s="1"/>
      <c r="C94" s="1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6.5" customHeight="1" x14ac:dyDescent="0.25">
      <c r="A95" s="1"/>
      <c r="B95" s="1"/>
      <c r="C95" s="1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6.5" customHeight="1" x14ac:dyDescent="0.25">
      <c r="A96" s="1"/>
      <c r="B96" s="1"/>
      <c r="C96" s="1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6.5" customHeight="1" x14ac:dyDescent="0.25">
      <c r="A97" s="1"/>
      <c r="B97" s="1"/>
      <c r="C97" s="1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6.5" customHeight="1" x14ac:dyDescent="0.25">
      <c r="A98" s="1"/>
      <c r="B98" s="1"/>
      <c r="C98" s="1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6.5" customHeight="1" x14ac:dyDescent="0.25">
      <c r="A99" s="1"/>
      <c r="B99" s="1"/>
      <c r="C99" s="1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6.5" customHeight="1" x14ac:dyDescent="0.25">
      <c r="A100" s="1"/>
      <c r="B100" s="1"/>
      <c r="C100" s="1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6.5" customHeight="1" x14ac:dyDescent="0.25">
      <c r="A101" s="1"/>
      <c r="B101" s="1"/>
      <c r="C101" s="1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6.5" customHeight="1" x14ac:dyDescent="0.25">
      <c r="A102" s="1"/>
      <c r="B102" s="1"/>
      <c r="C102" s="1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6.5" customHeight="1" x14ac:dyDescent="0.25">
      <c r="A103" s="1"/>
      <c r="B103" s="1"/>
      <c r="C103" s="1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6.5" customHeight="1" x14ac:dyDescent="0.25">
      <c r="A104" s="1"/>
      <c r="B104" s="1"/>
      <c r="C104" s="1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6.5" customHeight="1" x14ac:dyDescent="0.25">
      <c r="A105" s="1"/>
      <c r="B105" s="1"/>
      <c r="C105" s="1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6.5" customHeight="1" x14ac:dyDescent="0.25">
      <c r="A106" s="1"/>
      <c r="B106" s="1"/>
      <c r="C106" s="1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6.5" customHeight="1" x14ac:dyDescent="0.25">
      <c r="A107" s="1"/>
      <c r="B107" s="1"/>
      <c r="C107" s="1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6.5" customHeight="1" x14ac:dyDescent="0.25">
      <c r="A108" s="1"/>
      <c r="B108" s="1"/>
      <c r="C108" s="1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6.5" customHeight="1" x14ac:dyDescent="0.25">
      <c r="A109" s="1"/>
      <c r="B109" s="1"/>
      <c r="C109" s="1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6.5" customHeight="1" x14ac:dyDescent="0.25">
      <c r="A110" s="1"/>
      <c r="B110" s="1"/>
      <c r="C110" s="1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6.5" customHeight="1" x14ac:dyDescent="0.25">
      <c r="A111" s="1"/>
      <c r="B111" s="1"/>
      <c r="C111" s="1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6.5" customHeight="1" x14ac:dyDescent="0.25">
      <c r="A112" s="1"/>
      <c r="B112" s="1"/>
      <c r="C112" s="1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6.5" customHeight="1" x14ac:dyDescent="0.25">
      <c r="A113" s="1"/>
      <c r="B113" s="1"/>
      <c r="C113" s="1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6.5" customHeight="1" x14ac:dyDescent="0.25">
      <c r="A114" s="1"/>
      <c r="B114" s="1"/>
      <c r="C114" s="1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6.5" customHeight="1" x14ac:dyDescent="0.25">
      <c r="A115" s="1"/>
      <c r="B115" s="1"/>
      <c r="C115" s="1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6.5" customHeight="1" x14ac:dyDescent="0.25">
      <c r="A116" s="1"/>
      <c r="B116" s="1"/>
      <c r="C116" s="1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6.5" customHeight="1" x14ac:dyDescent="0.25">
      <c r="A117" s="1"/>
      <c r="B117" s="1"/>
      <c r="C117" s="1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6.5" customHeight="1" x14ac:dyDescent="0.25">
      <c r="A118" s="1"/>
      <c r="B118" s="1"/>
      <c r="C118" s="1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6.5" customHeight="1" x14ac:dyDescent="0.25">
      <c r="A119" s="1"/>
      <c r="B119" s="1"/>
      <c r="C119" s="1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6.5" customHeight="1" x14ac:dyDescent="0.25">
      <c r="A120" s="1"/>
      <c r="B120" s="1"/>
      <c r="C120" s="1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6.5" customHeight="1" x14ac:dyDescent="0.25">
      <c r="A121" s="1"/>
      <c r="B121" s="1"/>
      <c r="C121" s="1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6.5" customHeight="1" x14ac:dyDescent="0.25">
      <c r="A122" s="1"/>
      <c r="B122" s="1"/>
      <c r="C122" s="1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6.5" customHeight="1" x14ac:dyDescent="0.25">
      <c r="A123" s="1"/>
      <c r="B123" s="1"/>
      <c r="C123" s="1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6.5" customHeight="1" x14ac:dyDescent="0.25">
      <c r="A124" s="1"/>
      <c r="B124" s="1"/>
      <c r="C124" s="1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6.5" customHeight="1" x14ac:dyDescent="0.25">
      <c r="A125" s="1"/>
      <c r="B125" s="1"/>
      <c r="C125" s="1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6.5" customHeight="1" x14ac:dyDescent="0.25">
      <c r="A126" s="1"/>
      <c r="B126" s="1"/>
      <c r="C126" s="1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6.5" customHeight="1" x14ac:dyDescent="0.25">
      <c r="A127" s="1"/>
      <c r="B127" s="1"/>
      <c r="C127" s="1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6.5" customHeight="1" x14ac:dyDescent="0.25">
      <c r="A128" s="1"/>
      <c r="B128" s="1"/>
      <c r="C128" s="1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6.5" customHeight="1" x14ac:dyDescent="0.25">
      <c r="A129" s="1"/>
      <c r="B129" s="1"/>
      <c r="C129" s="1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6.5" customHeight="1" x14ac:dyDescent="0.25">
      <c r="A130" s="1"/>
      <c r="B130" s="1"/>
      <c r="C130" s="1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6.5" customHeight="1" x14ac:dyDescent="0.25">
      <c r="A131" s="1"/>
      <c r="B131" s="1"/>
      <c r="C131" s="1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6.5" customHeight="1" x14ac:dyDescent="0.25">
      <c r="A132" s="1"/>
      <c r="B132" s="1"/>
      <c r="C132" s="1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6.5" customHeight="1" x14ac:dyDescent="0.25">
      <c r="A133" s="1"/>
      <c r="B133" s="1"/>
      <c r="C133" s="1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6.5" customHeight="1" x14ac:dyDescent="0.25">
      <c r="A134" s="1"/>
      <c r="B134" s="1"/>
      <c r="C134" s="1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6.5" customHeight="1" x14ac:dyDescent="0.25">
      <c r="A135" s="1"/>
      <c r="B135" s="1"/>
      <c r="C135" s="1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6.5" customHeight="1" x14ac:dyDescent="0.25">
      <c r="A136" s="1"/>
      <c r="B136" s="1"/>
      <c r="C136" s="1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6.5" customHeight="1" x14ac:dyDescent="0.25">
      <c r="A137" s="1"/>
      <c r="B137" s="1"/>
      <c r="C137" s="1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6.5" customHeight="1" x14ac:dyDescent="0.25">
      <c r="A138" s="1"/>
      <c r="B138" s="1"/>
      <c r="C138" s="1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6.5" customHeight="1" x14ac:dyDescent="0.25">
      <c r="A139" s="1"/>
      <c r="B139" s="1"/>
      <c r="C139" s="1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6.5" customHeight="1" x14ac:dyDescent="0.25">
      <c r="A140" s="1"/>
      <c r="B140" s="1"/>
      <c r="C140" s="1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6.5" customHeight="1" x14ac:dyDescent="0.25">
      <c r="A141" s="1"/>
      <c r="B141" s="1"/>
      <c r="C141" s="1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6.5" customHeight="1" x14ac:dyDescent="0.25">
      <c r="A142" s="1"/>
      <c r="B142" s="1"/>
      <c r="C142" s="1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6.5" customHeight="1" x14ac:dyDescent="0.25">
      <c r="A143" s="1"/>
      <c r="B143" s="1"/>
      <c r="C143" s="1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6.5" customHeight="1" x14ac:dyDescent="0.25">
      <c r="A144" s="1"/>
      <c r="B144" s="1"/>
      <c r="C144" s="1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6.5" customHeight="1" x14ac:dyDescent="0.25">
      <c r="A145" s="1"/>
      <c r="B145" s="1"/>
      <c r="C145" s="1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6.5" customHeight="1" x14ac:dyDescent="0.25">
      <c r="A146" s="1"/>
      <c r="B146" s="1"/>
      <c r="C146" s="1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6.5" customHeight="1" x14ac:dyDescent="0.25">
      <c r="A147" s="1"/>
      <c r="B147" s="1"/>
      <c r="C147" s="1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6.5" customHeight="1" x14ac:dyDescent="0.25">
      <c r="A148" s="1"/>
      <c r="B148" s="1"/>
      <c r="C148" s="1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6.5" customHeight="1" x14ac:dyDescent="0.25">
      <c r="A149" s="1"/>
      <c r="B149" s="1"/>
      <c r="C149" s="1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6.5" customHeight="1" x14ac:dyDescent="0.25">
      <c r="A150" s="1"/>
      <c r="B150" s="1"/>
      <c r="C150" s="1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6.5" customHeight="1" x14ac:dyDescent="0.25">
      <c r="A151" s="1"/>
      <c r="B151" s="1"/>
      <c r="C151" s="1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6.5" customHeight="1" x14ac:dyDescent="0.25">
      <c r="A152" s="1"/>
      <c r="B152" s="1"/>
      <c r="C152" s="1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6.5" customHeight="1" x14ac:dyDescent="0.25">
      <c r="A153" s="1"/>
      <c r="B153" s="1"/>
      <c r="C153" s="1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6.5" customHeight="1" x14ac:dyDescent="0.25">
      <c r="A154" s="1"/>
      <c r="B154" s="1"/>
      <c r="C154" s="1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6.5" customHeight="1" x14ac:dyDescent="0.25">
      <c r="A155" s="1"/>
      <c r="B155" s="1"/>
      <c r="C155" s="1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6.5" customHeight="1" x14ac:dyDescent="0.25">
      <c r="A156" s="1"/>
      <c r="B156" s="1"/>
      <c r="C156" s="1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6.5" customHeight="1" x14ac:dyDescent="0.25">
      <c r="A157" s="1"/>
      <c r="B157" s="1"/>
      <c r="C157" s="1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6.5" customHeight="1" x14ac:dyDescent="0.25">
      <c r="A158" s="1"/>
      <c r="B158" s="1"/>
      <c r="C158" s="1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6.5" customHeight="1" x14ac:dyDescent="0.25">
      <c r="A159" s="1"/>
      <c r="B159" s="1"/>
      <c r="C159" s="1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6.5" customHeight="1" x14ac:dyDescent="0.25">
      <c r="A160" s="1"/>
      <c r="B160" s="1"/>
      <c r="C160" s="1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6.5" customHeight="1" x14ac:dyDescent="0.25">
      <c r="A161" s="1"/>
      <c r="B161" s="1"/>
      <c r="C161" s="1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6.5" customHeight="1" x14ac:dyDescent="0.25">
      <c r="A162" s="1"/>
      <c r="B162" s="1"/>
      <c r="C162" s="1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6.5" customHeight="1" x14ac:dyDescent="0.25">
      <c r="A163" s="1"/>
      <c r="B163" s="1"/>
      <c r="C163" s="1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6.5" customHeight="1" x14ac:dyDescent="0.25">
      <c r="A164" s="1"/>
      <c r="B164" s="1"/>
      <c r="C164" s="1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6.5" customHeight="1" x14ac:dyDescent="0.25">
      <c r="A165" s="1"/>
      <c r="B165" s="1"/>
      <c r="C165" s="1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6.5" customHeight="1" x14ac:dyDescent="0.25">
      <c r="A166" s="1"/>
      <c r="B166" s="1"/>
      <c r="C166" s="1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6.5" customHeight="1" x14ac:dyDescent="0.25">
      <c r="A167" s="1"/>
      <c r="B167" s="1"/>
      <c r="C167" s="1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6.5" customHeight="1" x14ac:dyDescent="0.25">
      <c r="A168" s="1"/>
      <c r="B168" s="1"/>
      <c r="C168" s="1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6.5" customHeight="1" x14ac:dyDescent="0.25">
      <c r="A169" s="1"/>
      <c r="B169" s="1"/>
      <c r="C169" s="1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6.5" customHeight="1" x14ac:dyDescent="0.25">
      <c r="A170" s="1"/>
      <c r="B170" s="1"/>
      <c r="C170" s="1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6.5" customHeight="1" x14ac:dyDescent="0.25">
      <c r="A171" s="1"/>
      <c r="B171" s="1"/>
      <c r="C171" s="1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6.5" customHeight="1" x14ac:dyDescent="0.25">
      <c r="A172" s="1"/>
      <c r="B172" s="1"/>
      <c r="C172" s="1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6.5" customHeight="1" x14ac:dyDescent="0.25">
      <c r="A173" s="1"/>
      <c r="B173" s="1"/>
      <c r="C173" s="1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6.5" customHeight="1" x14ac:dyDescent="0.25">
      <c r="A174" s="1"/>
      <c r="B174" s="1"/>
      <c r="C174" s="1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6.5" customHeight="1" x14ac:dyDescent="0.25">
      <c r="A175" s="1"/>
      <c r="B175" s="1"/>
      <c r="C175" s="1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6.5" customHeight="1" x14ac:dyDescent="0.25">
      <c r="A176" s="1"/>
      <c r="B176" s="1"/>
      <c r="C176" s="1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6.5" customHeight="1" x14ac:dyDescent="0.25">
      <c r="A177" s="1"/>
      <c r="B177" s="1"/>
      <c r="C177" s="1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6.5" customHeight="1" x14ac:dyDescent="0.25">
      <c r="A178" s="1"/>
      <c r="B178" s="1"/>
      <c r="C178" s="1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6.5" customHeight="1" x14ac:dyDescent="0.25">
      <c r="A179" s="1"/>
      <c r="B179" s="1"/>
      <c r="C179" s="1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6.5" customHeight="1" x14ac:dyDescent="0.25">
      <c r="A180" s="1"/>
      <c r="B180" s="1"/>
      <c r="C180" s="1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6.5" customHeight="1" x14ac:dyDescent="0.25">
      <c r="A181" s="1"/>
      <c r="B181" s="1"/>
      <c r="C181" s="1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6.5" customHeight="1" x14ac:dyDescent="0.25">
      <c r="A182" s="1"/>
      <c r="B182" s="1"/>
      <c r="C182" s="1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6.5" customHeight="1" x14ac:dyDescent="0.25">
      <c r="A183" s="1"/>
      <c r="B183" s="1"/>
      <c r="C183" s="1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6.5" customHeight="1" x14ac:dyDescent="0.25">
      <c r="A184" s="1"/>
      <c r="B184" s="1"/>
      <c r="C184" s="1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6.5" customHeight="1" x14ac:dyDescent="0.25">
      <c r="A185" s="1"/>
      <c r="B185" s="1"/>
      <c r="C185" s="1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6.5" customHeight="1" x14ac:dyDescent="0.25">
      <c r="A186" s="1"/>
      <c r="B186" s="1"/>
      <c r="C186" s="1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6.5" customHeight="1" x14ac:dyDescent="0.25">
      <c r="A187" s="1"/>
      <c r="B187" s="1"/>
      <c r="C187" s="1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6.5" customHeight="1" x14ac:dyDescent="0.25">
      <c r="A188" s="1"/>
      <c r="B188" s="1"/>
      <c r="C188" s="1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6.5" customHeight="1" x14ac:dyDescent="0.25">
      <c r="A189" s="1"/>
      <c r="B189" s="1"/>
      <c r="C189" s="1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6.5" customHeight="1" x14ac:dyDescent="0.25">
      <c r="A190" s="1"/>
      <c r="B190" s="1"/>
      <c r="C190" s="1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6.5" customHeight="1" x14ac:dyDescent="0.25">
      <c r="A191" s="1"/>
      <c r="B191" s="1"/>
      <c r="C191" s="1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6.5" customHeight="1" x14ac:dyDescent="0.25">
      <c r="A192" s="1"/>
      <c r="B192" s="1"/>
      <c r="C192" s="1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6.5" customHeight="1" x14ac:dyDescent="0.25">
      <c r="A193" s="1"/>
      <c r="B193" s="1"/>
      <c r="C193" s="1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6.5" customHeight="1" x14ac:dyDescent="0.25">
      <c r="A194" s="1"/>
      <c r="B194" s="1"/>
      <c r="C194" s="1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6.5" customHeight="1" x14ac:dyDescent="0.25">
      <c r="A195" s="1"/>
      <c r="B195" s="1"/>
      <c r="C195" s="1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6.5" customHeight="1" x14ac:dyDescent="0.25">
      <c r="A196" s="1"/>
      <c r="B196" s="1"/>
      <c r="C196" s="1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6.5" customHeight="1" x14ac:dyDescent="0.25">
      <c r="A197" s="1"/>
      <c r="B197" s="1"/>
      <c r="C197" s="1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6.5" customHeight="1" x14ac:dyDescent="0.25">
      <c r="A198" s="1"/>
      <c r="B198" s="1"/>
      <c r="C198" s="1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6.5" customHeight="1" x14ac:dyDescent="0.25">
      <c r="A199" s="1"/>
      <c r="B199" s="1"/>
      <c r="C199" s="1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6.5" customHeight="1" x14ac:dyDescent="0.25">
      <c r="A200" s="1"/>
      <c r="B200" s="1"/>
      <c r="C200" s="1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6.5" customHeight="1" x14ac:dyDescent="0.25">
      <c r="A201" s="1"/>
      <c r="B201" s="1"/>
      <c r="C201" s="1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6.5" customHeight="1" x14ac:dyDescent="0.25">
      <c r="A202" s="1"/>
      <c r="B202" s="1"/>
      <c r="C202" s="1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6.5" customHeight="1" x14ac:dyDescent="0.25">
      <c r="A203" s="1"/>
      <c r="B203" s="1"/>
      <c r="C203" s="1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6.5" customHeight="1" x14ac:dyDescent="0.25">
      <c r="A204" s="1"/>
      <c r="B204" s="1"/>
      <c r="C204" s="1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6.5" customHeight="1" x14ac:dyDescent="0.25">
      <c r="A205" s="1"/>
      <c r="B205" s="1"/>
      <c r="C205" s="1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6.5" customHeight="1" x14ac:dyDescent="0.25">
      <c r="A206" s="1"/>
      <c r="B206" s="1"/>
      <c r="C206" s="1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6.5" customHeight="1" x14ac:dyDescent="0.25">
      <c r="A207" s="1"/>
      <c r="B207" s="1"/>
      <c r="C207" s="1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6.5" customHeight="1" x14ac:dyDescent="0.25">
      <c r="A208" s="1"/>
      <c r="B208" s="1"/>
      <c r="C208" s="1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6.5" customHeight="1" x14ac:dyDescent="0.25">
      <c r="A209" s="1"/>
      <c r="B209" s="1"/>
      <c r="C209" s="1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6.5" customHeight="1" x14ac:dyDescent="0.25">
      <c r="A210" s="1"/>
      <c r="B210" s="1"/>
      <c r="C210" s="1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6.5" customHeight="1" x14ac:dyDescent="0.25">
      <c r="A211" s="1"/>
      <c r="B211" s="1"/>
      <c r="C211" s="1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6.5" customHeight="1" x14ac:dyDescent="0.25">
      <c r="A212" s="1"/>
      <c r="B212" s="1"/>
      <c r="C212" s="1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6.5" customHeight="1" x14ac:dyDescent="0.25">
      <c r="A213" s="1"/>
      <c r="B213" s="1"/>
      <c r="C213" s="1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6.5" customHeight="1" x14ac:dyDescent="0.25">
      <c r="A214" s="1"/>
      <c r="B214" s="1"/>
      <c r="C214" s="1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6.5" customHeight="1" x14ac:dyDescent="0.25">
      <c r="A215" s="1"/>
      <c r="B215" s="1"/>
      <c r="C215" s="1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6.5" customHeight="1" x14ac:dyDescent="0.25">
      <c r="A216" s="1"/>
      <c r="B216" s="1"/>
      <c r="C216" s="1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6.5" customHeight="1" x14ac:dyDescent="0.25">
      <c r="A217" s="1"/>
      <c r="B217" s="1"/>
      <c r="C217" s="1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6.5" customHeight="1" x14ac:dyDescent="0.25">
      <c r="A218" s="1"/>
      <c r="B218" s="1"/>
      <c r="C218" s="1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6.5" customHeight="1" x14ac:dyDescent="0.25">
      <c r="A219" s="1"/>
      <c r="B219" s="1"/>
      <c r="C219" s="1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6.5" customHeight="1" x14ac:dyDescent="0.25">
      <c r="A220" s="1"/>
      <c r="B220" s="1"/>
      <c r="C220" s="1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6.5" customHeight="1" x14ac:dyDescent="0.25">
      <c r="A221" s="1"/>
      <c r="B221" s="1"/>
      <c r="C221" s="1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6.5" customHeight="1" x14ac:dyDescent="0.25">
      <c r="A222" s="1"/>
      <c r="B222" s="1"/>
      <c r="C222" s="1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6.5" customHeight="1" x14ac:dyDescent="0.25">
      <c r="A223" s="1"/>
      <c r="B223" s="1"/>
      <c r="C223" s="1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6.5" customHeight="1" x14ac:dyDescent="0.25">
      <c r="A224" s="1"/>
      <c r="B224" s="1"/>
      <c r="C224" s="1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6.5" customHeight="1" x14ac:dyDescent="0.25">
      <c r="A225" s="1"/>
      <c r="B225" s="1"/>
      <c r="C225" s="1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6.5" customHeight="1" x14ac:dyDescent="0.25">
      <c r="A226" s="1"/>
      <c r="B226" s="1"/>
      <c r="C226" s="1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6.5" customHeight="1" x14ac:dyDescent="0.25">
      <c r="A227" s="1"/>
      <c r="B227" s="1"/>
      <c r="C227" s="1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6.5" customHeight="1" x14ac:dyDescent="0.25">
      <c r="A228" s="1"/>
      <c r="B228" s="1"/>
      <c r="C228" s="1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6.5" customHeight="1" x14ac:dyDescent="0.25">
      <c r="A229" s="1"/>
      <c r="B229" s="1"/>
      <c r="C229" s="1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6.5" customHeight="1" x14ac:dyDescent="0.25">
      <c r="A230" s="1"/>
      <c r="B230" s="1"/>
      <c r="C230" s="1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6.5" customHeight="1" x14ac:dyDescent="0.25">
      <c r="A231" s="1"/>
      <c r="B231" s="1"/>
      <c r="C231" s="1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6.5" customHeight="1" x14ac:dyDescent="0.25">
      <c r="A232" s="1"/>
      <c r="B232" s="1"/>
      <c r="C232" s="1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6.5" customHeight="1" x14ac:dyDescent="0.25">
      <c r="A233" s="1"/>
      <c r="B233" s="1"/>
      <c r="C233" s="1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6.5" customHeight="1" x14ac:dyDescent="0.25">
      <c r="A234" s="1"/>
      <c r="B234" s="1"/>
      <c r="C234" s="1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6.5" customHeight="1" x14ac:dyDescent="0.25">
      <c r="A235" s="1"/>
      <c r="B235" s="1"/>
      <c r="C235" s="1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6.5" customHeight="1" x14ac:dyDescent="0.25">
      <c r="A236" s="1"/>
      <c r="B236" s="1"/>
      <c r="C236" s="1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6.5" customHeight="1" x14ac:dyDescent="0.25">
      <c r="A237" s="1"/>
      <c r="B237" s="1"/>
      <c r="C237" s="1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6.5" customHeight="1" x14ac:dyDescent="0.25">
      <c r="A238" s="1"/>
      <c r="B238" s="1"/>
      <c r="C238" s="1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6.5" customHeight="1" x14ac:dyDescent="0.25">
      <c r="A239" s="1"/>
      <c r="B239" s="1"/>
      <c r="C239" s="1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6.5" customHeight="1" x14ac:dyDescent="0.25">
      <c r="A240" s="1"/>
      <c r="B240" s="1"/>
      <c r="C240" s="1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6.5" customHeight="1" x14ac:dyDescent="0.25">
      <c r="A241" s="1"/>
      <c r="B241" s="1"/>
      <c r="C241" s="1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6.5" customHeight="1" x14ac:dyDescent="0.25">
      <c r="A242" s="1"/>
      <c r="B242" s="1"/>
      <c r="C242" s="1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6.5" customHeight="1" x14ac:dyDescent="0.25">
      <c r="A243" s="1"/>
      <c r="B243" s="1"/>
      <c r="C243" s="1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6.5" customHeight="1" x14ac:dyDescent="0.25">
      <c r="A244" s="1"/>
      <c r="B244" s="1"/>
      <c r="C244" s="1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5.75" customHeight="1" x14ac:dyDescent="0.25"/>
    <row r="246" spans="1:27" ht="15.75" customHeight="1" x14ac:dyDescent="0.25"/>
    <row r="247" spans="1:27" ht="15.75" customHeight="1" x14ac:dyDescent="0.25"/>
    <row r="248" spans="1:27" ht="15.75" customHeight="1" x14ac:dyDescent="0.25"/>
    <row r="249" spans="1:27" ht="15.75" customHeight="1" x14ac:dyDescent="0.25"/>
    <row r="250" spans="1:27" ht="15.75" customHeight="1" x14ac:dyDescent="0.25"/>
    <row r="251" spans="1:27" ht="15.75" customHeight="1" x14ac:dyDescent="0.25"/>
    <row r="252" spans="1:27" ht="15.75" customHeight="1" x14ac:dyDescent="0.25"/>
    <row r="253" spans="1:27" ht="15.75" customHeight="1" x14ac:dyDescent="0.25"/>
    <row r="254" spans="1:27" ht="15.75" customHeight="1" x14ac:dyDescent="0.25"/>
    <row r="255" spans="1:27" ht="15.75" customHeight="1" x14ac:dyDescent="0.25"/>
    <row r="256" spans="1:27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7">
    <mergeCell ref="A1:AA2"/>
    <mergeCell ref="B3:D3"/>
    <mergeCell ref="D5:D8"/>
    <mergeCell ref="P5:Q5"/>
    <mergeCell ref="P6:Q6"/>
    <mergeCell ref="P7:Q7"/>
    <mergeCell ref="P8:Q8"/>
    <mergeCell ref="B20:C20"/>
    <mergeCell ref="A11:A44"/>
    <mergeCell ref="B44:C44"/>
    <mergeCell ref="B41:C41"/>
    <mergeCell ref="B39:C39"/>
    <mergeCell ref="B37:C37"/>
    <mergeCell ref="B22:C22"/>
    <mergeCell ref="B11:B19"/>
    <mergeCell ref="B23:B36"/>
    <mergeCell ref="B42:B43"/>
  </mergeCells>
  <pageMargins left="0.7" right="0.7" top="0.75" bottom="0.75" header="0" footer="0"/>
  <pageSetup scale="5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W1000"/>
  <sheetViews>
    <sheetView tabSelected="1" workbookViewId="0">
      <selection activeCell="B11" sqref="B11"/>
    </sheetView>
  </sheetViews>
  <sheetFormatPr defaultColWidth="12.59765625" defaultRowHeight="15" customHeight="1" x14ac:dyDescent="0.25"/>
  <cols>
    <col min="1" max="2" width="9.5" customWidth="1"/>
    <col min="3" max="3" width="12.796875" customWidth="1"/>
    <col min="4" max="23" width="5.8984375" customWidth="1"/>
    <col min="24" max="26" width="9.59765625" customWidth="1"/>
  </cols>
  <sheetData>
    <row r="1" spans="1:23" ht="16.8" x14ac:dyDescent="0.3">
      <c r="A1" s="24" t="s">
        <v>52</v>
      </c>
      <c r="B1" s="41" t="s">
        <v>47</v>
      </c>
      <c r="C1" s="24" t="s">
        <v>53</v>
      </c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</row>
    <row r="2" spans="1:23" ht="16.8" x14ac:dyDescent="0.3">
      <c r="A2" s="43">
        <v>391</v>
      </c>
      <c r="B2" s="24">
        <v>391</v>
      </c>
      <c r="C2" s="44">
        <v>44522</v>
      </c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</row>
    <row r="3" spans="1:23" ht="16.8" x14ac:dyDescent="0.3">
      <c r="A3" s="43">
        <v>386</v>
      </c>
      <c r="B3" s="24">
        <v>380</v>
      </c>
      <c r="C3" s="46">
        <v>44523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</row>
    <row r="4" spans="1:23" ht="16.8" x14ac:dyDescent="0.3">
      <c r="A4" s="43">
        <v>381</v>
      </c>
      <c r="B4" s="24">
        <v>367</v>
      </c>
      <c r="C4" s="46">
        <v>44524</v>
      </c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</row>
    <row r="5" spans="1:23" ht="16.8" x14ac:dyDescent="0.3">
      <c r="A5" s="43">
        <v>346</v>
      </c>
      <c r="B5" s="24">
        <v>349</v>
      </c>
      <c r="C5" s="46">
        <v>44525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</row>
    <row r="6" spans="1:23" ht="16.8" x14ac:dyDescent="0.3">
      <c r="A6" s="43">
        <v>321</v>
      </c>
      <c r="B6" s="24">
        <v>325</v>
      </c>
      <c r="C6" s="46">
        <v>44526</v>
      </c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</row>
    <row r="7" spans="1:23" ht="16.8" x14ac:dyDescent="0.3">
      <c r="A7" s="43">
        <v>311</v>
      </c>
      <c r="B7" s="24">
        <v>309</v>
      </c>
      <c r="C7" s="46">
        <v>44527</v>
      </c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</row>
    <row r="8" spans="1:23" ht="16.8" x14ac:dyDescent="0.3">
      <c r="A8" s="43">
        <v>301</v>
      </c>
      <c r="B8" s="24">
        <v>301</v>
      </c>
      <c r="C8" s="46">
        <v>44528</v>
      </c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</row>
    <row r="9" spans="1:23" ht="16.8" x14ac:dyDescent="0.3">
      <c r="A9" s="43">
        <v>286</v>
      </c>
      <c r="B9" s="24">
        <v>286</v>
      </c>
      <c r="C9" s="46">
        <v>44529</v>
      </c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</row>
    <row r="10" spans="1:23" ht="16.8" x14ac:dyDescent="0.3">
      <c r="A10" s="43">
        <v>246</v>
      </c>
      <c r="B10" s="24">
        <v>270</v>
      </c>
      <c r="C10" s="46">
        <v>44530</v>
      </c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</row>
    <row r="11" spans="1:23" ht="16.8" x14ac:dyDescent="0.3">
      <c r="A11" s="43">
        <v>226</v>
      </c>
      <c r="B11" s="24">
        <v>266</v>
      </c>
      <c r="C11" s="46">
        <v>44531</v>
      </c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</row>
    <row r="12" spans="1:23" ht="16.8" x14ac:dyDescent="0.3">
      <c r="A12" s="43">
        <v>206</v>
      </c>
      <c r="B12" s="24">
        <v>266</v>
      </c>
      <c r="C12" s="46">
        <v>44532</v>
      </c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</row>
    <row r="13" spans="1:23" ht="16.8" x14ac:dyDescent="0.3">
      <c r="A13" s="43">
        <v>196</v>
      </c>
      <c r="B13" s="24">
        <v>266</v>
      </c>
      <c r="C13" s="46">
        <v>44533</v>
      </c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</row>
    <row r="14" spans="1:23" ht="16.8" x14ac:dyDescent="0.3">
      <c r="A14" s="43">
        <v>176</v>
      </c>
      <c r="B14" s="24">
        <v>266</v>
      </c>
      <c r="C14" s="46">
        <v>44534</v>
      </c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</row>
    <row r="15" spans="1:23" ht="16.8" x14ac:dyDescent="0.3">
      <c r="A15" s="43">
        <v>156</v>
      </c>
      <c r="B15" s="24">
        <v>266</v>
      </c>
      <c r="C15" s="46">
        <v>44535</v>
      </c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</row>
    <row r="16" spans="1:23" ht="14.25" customHeight="1" x14ac:dyDescent="0.3">
      <c r="A16" s="24">
        <v>136</v>
      </c>
      <c r="B16" s="47">
        <v>266</v>
      </c>
      <c r="C16" s="46">
        <v>44536</v>
      </c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</row>
    <row r="17" spans="1:23" ht="16.8" x14ac:dyDescent="0.3">
      <c r="A17" s="43">
        <v>116</v>
      </c>
      <c r="B17" s="24">
        <v>266</v>
      </c>
      <c r="C17" s="46">
        <v>44537</v>
      </c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</row>
    <row r="18" spans="1:23" ht="16.8" x14ac:dyDescent="0.3">
      <c r="A18" s="43">
        <v>96</v>
      </c>
      <c r="B18" s="24">
        <v>246</v>
      </c>
      <c r="C18" s="46">
        <v>44538</v>
      </c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</row>
    <row r="19" spans="1:23" ht="16.8" x14ac:dyDescent="0.3">
      <c r="A19" s="43">
        <v>56</v>
      </c>
      <c r="B19" s="24">
        <v>206</v>
      </c>
      <c r="C19" s="46">
        <v>44539</v>
      </c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</row>
    <row r="20" spans="1:23" ht="16.8" x14ac:dyDescent="0.3">
      <c r="A20" s="43">
        <v>36</v>
      </c>
      <c r="B20" s="24">
        <v>186</v>
      </c>
      <c r="C20" s="46">
        <v>44540</v>
      </c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</row>
    <row r="21" spans="1:23" ht="15.75" customHeight="1" x14ac:dyDescent="0.3">
      <c r="A21" s="43">
        <v>16</v>
      </c>
      <c r="B21" s="24">
        <v>166</v>
      </c>
      <c r="C21" s="46">
        <v>44541</v>
      </c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</row>
    <row r="22" spans="1:23" ht="14.25" customHeight="1" x14ac:dyDescent="0.3">
      <c r="A22" s="43">
        <v>0</v>
      </c>
      <c r="B22" s="24">
        <v>150</v>
      </c>
      <c r="C22" s="46">
        <v>44542</v>
      </c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</row>
    <row r="23" spans="1:23" ht="14.25" customHeight="1" x14ac:dyDescent="0.3">
      <c r="A23" s="45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</row>
    <row r="24" spans="1:23" ht="14.25" customHeight="1" x14ac:dyDescent="0.3">
      <c r="A24" s="45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</row>
    <row r="25" spans="1:23" ht="14.25" customHeight="1" x14ac:dyDescent="0.3">
      <c r="A25" s="45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</row>
    <row r="26" spans="1:23" ht="14.25" customHeight="1" x14ac:dyDescent="0.3">
      <c r="A26" s="47"/>
      <c r="B26" s="47"/>
      <c r="C26" s="47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</row>
    <row r="27" spans="1:23" ht="14.25" customHeight="1" x14ac:dyDescent="0.3">
      <c r="A27" s="47"/>
      <c r="B27" s="47"/>
      <c r="C27" s="47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</row>
    <row r="28" spans="1:23" ht="14.25" customHeight="1" x14ac:dyDescent="0.3">
      <c r="A28" s="47"/>
      <c r="B28" s="47"/>
      <c r="C28" s="47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</row>
    <row r="29" spans="1:23" ht="14.25" customHeight="1" x14ac:dyDescent="0.3">
      <c r="A29" s="47"/>
      <c r="B29" s="47"/>
      <c r="C29" s="47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</row>
    <row r="30" spans="1:23" ht="14.25" customHeight="1" x14ac:dyDescent="0.3">
      <c r="A30" s="45"/>
      <c r="B30" s="47"/>
      <c r="C30" s="47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</row>
    <row r="31" spans="1:23" ht="14.25" customHeight="1" x14ac:dyDescent="0.3">
      <c r="A31" s="45"/>
      <c r="B31" s="45"/>
      <c r="C31" s="45"/>
      <c r="D31" s="45"/>
      <c r="E31" s="45"/>
      <c r="F31" s="45"/>
    </row>
    <row r="32" spans="1:23" ht="14.25" customHeight="1" x14ac:dyDescent="0.3">
      <c r="A32" s="45"/>
      <c r="B32" s="45"/>
      <c r="C32" s="45"/>
      <c r="D32" s="45"/>
      <c r="E32" s="45"/>
      <c r="F32" s="45"/>
    </row>
    <row r="33" spans="1:23" ht="14.25" customHeight="1" x14ac:dyDescent="0.3">
      <c r="A33" s="45"/>
      <c r="B33" s="45"/>
      <c r="C33" s="45"/>
      <c r="D33" s="45"/>
      <c r="E33" s="45"/>
      <c r="F33" s="45"/>
    </row>
    <row r="34" spans="1:23" ht="14.25" customHeight="1" x14ac:dyDescent="0.3">
      <c r="A34" s="45"/>
      <c r="B34" s="45"/>
      <c r="C34" s="45"/>
      <c r="D34" s="45"/>
      <c r="E34" s="45"/>
      <c r="F34" s="45"/>
    </row>
    <row r="35" spans="1:23" ht="14.25" customHeight="1" x14ac:dyDescent="0.3">
      <c r="A35" s="47"/>
      <c r="B35" s="45"/>
      <c r="C35" s="45"/>
      <c r="D35" s="45"/>
      <c r="E35" s="45"/>
      <c r="F35" s="45"/>
    </row>
    <row r="36" spans="1:23" ht="14.25" customHeight="1" x14ac:dyDescent="0.3">
      <c r="A36" s="47"/>
      <c r="B36" s="47"/>
      <c r="C36" s="47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</row>
    <row r="37" spans="1:23" ht="14.25" customHeight="1" x14ac:dyDescent="0.3">
      <c r="A37" s="47"/>
      <c r="B37" s="47"/>
      <c r="C37" s="47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</row>
    <row r="38" spans="1:23" ht="14.25" customHeight="1" x14ac:dyDescent="0.3">
      <c r="A38" s="47"/>
      <c r="B38" s="47"/>
      <c r="C38" s="47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</row>
    <row r="39" spans="1:23" ht="14.25" customHeight="1" x14ac:dyDescent="0.3">
      <c r="A39" s="47"/>
      <c r="B39" s="47"/>
      <c r="C39" s="47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</row>
    <row r="40" spans="1:23" ht="14.25" customHeight="1" x14ac:dyDescent="0.3">
      <c r="A40" s="47"/>
      <c r="B40" s="47"/>
      <c r="C40" s="47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</row>
    <row r="41" spans="1:23" ht="14.25" customHeight="1" x14ac:dyDescent="0.3">
      <c r="A41" s="47"/>
      <c r="B41" s="47"/>
      <c r="C41" s="47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</row>
    <row r="42" spans="1:23" ht="14.25" customHeight="1" x14ac:dyDescent="0.3">
      <c r="A42" s="47"/>
      <c r="B42" s="47"/>
      <c r="C42" s="47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</row>
    <row r="43" spans="1:23" ht="14.25" customHeight="1" x14ac:dyDescent="0.3">
      <c r="A43" s="47"/>
      <c r="B43" s="47"/>
      <c r="C43" s="47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</row>
    <row r="44" spans="1:23" ht="14.25" customHeight="1" x14ac:dyDescent="0.3">
      <c r="A44" s="47"/>
      <c r="B44" s="47"/>
      <c r="C44" s="47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</row>
    <row r="45" spans="1:23" ht="14.25" customHeight="1" x14ac:dyDescent="0.3">
      <c r="A45" s="47"/>
      <c r="B45" s="47"/>
      <c r="C45" s="47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</row>
    <row r="46" spans="1:23" ht="14.25" customHeight="1" x14ac:dyDescent="0.3">
      <c r="A46" s="47"/>
      <c r="B46" s="47"/>
      <c r="C46" s="47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</row>
    <row r="47" spans="1:23" ht="14.25" customHeight="1" x14ac:dyDescent="0.3">
      <c r="A47" s="47"/>
      <c r="B47" s="47"/>
      <c r="C47" s="47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</row>
    <row r="48" spans="1:23" ht="14.25" customHeight="1" x14ac:dyDescent="0.3">
      <c r="A48" s="47"/>
      <c r="B48" s="47"/>
      <c r="C48" s="47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</row>
    <row r="49" spans="1:23" ht="14.25" customHeight="1" x14ac:dyDescent="0.3">
      <c r="A49" s="47"/>
      <c r="B49" s="47"/>
      <c r="C49" s="47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</row>
    <row r="50" spans="1:23" ht="14.25" customHeight="1" x14ac:dyDescent="0.3">
      <c r="A50" s="47"/>
      <c r="B50" s="47"/>
      <c r="C50" s="47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</row>
    <row r="51" spans="1:23" ht="14.25" customHeight="1" x14ac:dyDescent="0.3">
      <c r="A51" s="47"/>
      <c r="B51" s="47"/>
      <c r="C51" s="47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</row>
    <row r="52" spans="1:23" ht="14.25" customHeight="1" x14ac:dyDescent="0.3">
      <c r="A52" s="47"/>
      <c r="B52" s="47"/>
      <c r="C52" s="47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</row>
    <row r="53" spans="1:23" ht="14.25" customHeight="1" x14ac:dyDescent="0.3">
      <c r="A53" s="47"/>
      <c r="B53" s="47"/>
      <c r="C53" s="47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</row>
    <row r="54" spans="1:23" ht="14.25" customHeight="1" x14ac:dyDescent="0.3">
      <c r="A54" s="47"/>
      <c r="B54" s="47"/>
      <c r="C54" s="47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</row>
    <row r="55" spans="1:23" ht="14.25" customHeight="1" x14ac:dyDescent="0.3">
      <c r="A55" s="47"/>
      <c r="B55" s="47"/>
      <c r="C55" s="47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</row>
    <row r="56" spans="1:23" ht="14.25" customHeight="1" x14ac:dyDescent="0.3">
      <c r="A56" s="47"/>
      <c r="B56" s="47"/>
      <c r="C56" s="47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</row>
    <row r="57" spans="1:23" ht="14.25" customHeight="1" x14ac:dyDescent="0.3">
      <c r="A57" s="47"/>
      <c r="B57" s="47"/>
      <c r="C57" s="47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</row>
    <row r="58" spans="1:23" ht="14.25" customHeight="1" x14ac:dyDescent="0.3">
      <c r="A58" s="47"/>
      <c r="B58" s="47"/>
      <c r="C58" s="47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</row>
    <row r="59" spans="1:23" ht="14.25" customHeight="1" x14ac:dyDescent="0.3">
      <c r="A59" s="47"/>
      <c r="B59" s="47"/>
      <c r="C59" s="47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</row>
    <row r="60" spans="1:23" ht="14.25" customHeight="1" x14ac:dyDescent="0.3">
      <c r="A60" s="47"/>
      <c r="B60" s="47"/>
      <c r="C60" s="47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</row>
    <row r="61" spans="1:23" ht="14.25" customHeight="1" x14ac:dyDescent="0.3">
      <c r="A61" s="47"/>
      <c r="B61" s="47"/>
      <c r="C61" s="47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</row>
    <row r="62" spans="1:23" ht="14.25" customHeight="1" x14ac:dyDescent="0.3">
      <c r="A62" s="47"/>
      <c r="B62" s="47"/>
      <c r="C62" s="47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</row>
    <row r="63" spans="1:23" ht="14.25" customHeight="1" x14ac:dyDescent="0.3">
      <c r="A63" s="47"/>
      <c r="B63" s="47"/>
      <c r="C63" s="47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</row>
    <row r="64" spans="1:23" ht="14.25" customHeight="1" x14ac:dyDescent="0.3">
      <c r="A64" s="47"/>
      <c r="B64" s="47"/>
      <c r="C64" s="47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</row>
    <row r="65" spans="1:23" ht="14.25" customHeight="1" x14ac:dyDescent="0.3">
      <c r="A65" s="47"/>
      <c r="B65" s="47"/>
      <c r="C65" s="47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</row>
    <row r="66" spans="1:23" ht="14.25" customHeight="1" x14ac:dyDescent="0.3">
      <c r="A66" s="47"/>
      <c r="B66" s="47"/>
      <c r="C66" s="47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</row>
    <row r="67" spans="1:23" ht="14.25" customHeight="1" x14ac:dyDescent="0.3">
      <c r="A67" s="47"/>
      <c r="B67" s="47"/>
      <c r="C67" s="47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</row>
    <row r="68" spans="1:23" ht="14.25" customHeight="1" x14ac:dyDescent="0.3">
      <c r="A68" s="47"/>
      <c r="B68" s="47"/>
      <c r="C68" s="47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</row>
    <row r="69" spans="1:23" ht="14.25" customHeight="1" x14ac:dyDescent="0.3">
      <c r="A69" s="47"/>
      <c r="B69" s="47"/>
      <c r="C69" s="47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</row>
    <row r="70" spans="1:23" ht="14.25" customHeight="1" x14ac:dyDescent="0.3">
      <c r="A70" s="47"/>
      <c r="B70" s="47"/>
      <c r="C70" s="47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</row>
    <row r="71" spans="1:23" ht="14.25" customHeight="1" x14ac:dyDescent="0.3">
      <c r="A71" s="47"/>
      <c r="B71" s="47"/>
      <c r="C71" s="47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</row>
    <row r="72" spans="1:23" ht="14.25" customHeight="1" x14ac:dyDescent="0.3">
      <c r="A72" s="47"/>
      <c r="B72" s="47"/>
      <c r="C72" s="47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</row>
    <row r="73" spans="1:23" ht="14.25" customHeight="1" x14ac:dyDescent="0.3">
      <c r="A73" s="47"/>
      <c r="B73" s="47"/>
      <c r="C73" s="47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</row>
    <row r="74" spans="1:23" ht="14.25" customHeight="1" x14ac:dyDescent="0.3">
      <c r="A74" s="47"/>
      <c r="B74" s="47"/>
      <c r="C74" s="47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</row>
    <row r="75" spans="1:23" ht="14.25" customHeight="1" x14ac:dyDescent="0.3">
      <c r="A75" s="47"/>
      <c r="B75" s="47"/>
      <c r="C75" s="47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</row>
    <row r="76" spans="1:23" ht="14.25" customHeight="1" x14ac:dyDescent="0.3">
      <c r="A76" s="47"/>
      <c r="B76" s="47"/>
      <c r="C76" s="47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</row>
    <row r="77" spans="1:23" ht="14.25" customHeight="1" x14ac:dyDescent="0.3">
      <c r="A77" s="47"/>
      <c r="B77" s="47"/>
      <c r="C77" s="47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</row>
    <row r="78" spans="1:23" ht="14.25" customHeight="1" x14ac:dyDescent="0.3">
      <c r="A78" s="47"/>
      <c r="B78" s="47"/>
      <c r="C78" s="47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</row>
    <row r="79" spans="1:23" ht="14.25" customHeight="1" x14ac:dyDescent="0.3">
      <c r="A79" s="47"/>
      <c r="B79" s="47"/>
      <c r="C79" s="47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</row>
    <row r="80" spans="1:23" ht="14.25" customHeight="1" x14ac:dyDescent="0.3">
      <c r="A80" s="47"/>
      <c r="B80" s="47"/>
      <c r="C80" s="47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</row>
    <row r="81" spans="1:23" ht="14.25" customHeight="1" x14ac:dyDescent="0.3">
      <c r="A81" s="47"/>
      <c r="B81" s="47"/>
      <c r="C81" s="47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</row>
    <row r="82" spans="1:23" ht="14.25" customHeight="1" x14ac:dyDescent="0.3">
      <c r="A82" s="47"/>
      <c r="B82" s="47"/>
      <c r="C82" s="47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</row>
    <row r="83" spans="1:23" ht="14.25" customHeight="1" x14ac:dyDescent="0.3">
      <c r="A83" s="47"/>
      <c r="B83" s="47"/>
      <c r="C83" s="47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</row>
    <row r="84" spans="1:23" ht="14.25" customHeight="1" x14ac:dyDescent="0.3">
      <c r="A84" s="47"/>
      <c r="B84" s="47"/>
      <c r="C84" s="47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</row>
    <row r="85" spans="1:23" ht="14.25" customHeight="1" x14ac:dyDescent="0.3">
      <c r="A85" s="47"/>
      <c r="B85" s="47"/>
      <c r="C85" s="47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</row>
    <row r="86" spans="1:23" ht="14.25" customHeight="1" x14ac:dyDescent="0.3">
      <c r="A86" s="47"/>
      <c r="B86" s="47"/>
      <c r="C86" s="47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</row>
    <row r="87" spans="1:23" ht="14.25" customHeight="1" x14ac:dyDescent="0.3">
      <c r="A87" s="47"/>
      <c r="B87" s="47"/>
      <c r="C87" s="47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</row>
    <row r="88" spans="1:23" ht="14.25" customHeight="1" x14ac:dyDescent="0.3">
      <c r="A88" s="47"/>
      <c r="B88" s="47"/>
      <c r="C88" s="47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</row>
    <row r="89" spans="1:23" ht="14.25" customHeight="1" x14ac:dyDescent="0.3">
      <c r="A89" s="47"/>
      <c r="B89" s="47"/>
      <c r="C89" s="47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</row>
    <row r="90" spans="1:23" ht="14.25" customHeight="1" x14ac:dyDescent="0.3">
      <c r="A90" s="47"/>
      <c r="B90" s="47"/>
      <c r="C90" s="47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</row>
    <row r="91" spans="1:23" ht="14.25" customHeight="1" x14ac:dyDescent="0.3">
      <c r="A91" s="47"/>
      <c r="B91" s="47"/>
      <c r="C91" s="47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</row>
    <row r="92" spans="1:23" ht="14.25" customHeight="1" x14ac:dyDescent="0.3">
      <c r="A92" s="47"/>
      <c r="B92" s="47"/>
      <c r="C92" s="47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</row>
    <row r="93" spans="1:23" ht="14.25" customHeight="1" x14ac:dyDescent="0.3">
      <c r="A93" s="47"/>
      <c r="B93" s="47"/>
      <c r="C93" s="47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</row>
    <row r="94" spans="1:23" ht="14.25" customHeight="1" x14ac:dyDescent="0.3">
      <c r="A94" s="47"/>
      <c r="B94" s="47"/>
      <c r="C94" s="47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</row>
    <row r="95" spans="1:23" ht="14.25" customHeight="1" x14ac:dyDescent="0.3">
      <c r="A95" s="47"/>
      <c r="B95" s="47"/>
      <c r="C95" s="47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</row>
    <row r="96" spans="1:23" ht="14.25" customHeight="1" x14ac:dyDescent="0.3">
      <c r="A96" s="47"/>
      <c r="B96" s="47"/>
      <c r="C96" s="47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</row>
    <row r="97" spans="1:23" ht="14.25" customHeight="1" x14ac:dyDescent="0.3">
      <c r="A97" s="47"/>
      <c r="B97" s="47"/>
      <c r="C97" s="47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</row>
    <row r="98" spans="1:23" ht="14.25" customHeight="1" x14ac:dyDescent="0.3">
      <c r="A98" s="47"/>
      <c r="B98" s="47"/>
      <c r="C98" s="47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</row>
    <row r="99" spans="1:23" ht="14.25" customHeight="1" x14ac:dyDescent="0.3">
      <c r="A99" s="47"/>
      <c r="B99" s="47"/>
      <c r="C99" s="47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</row>
    <row r="100" spans="1:23" ht="14.25" customHeight="1" x14ac:dyDescent="0.3">
      <c r="A100" s="47"/>
      <c r="B100" s="47"/>
      <c r="C100" s="47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</row>
    <row r="101" spans="1:23" ht="14.25" customHeight="1" x14ac:dyDescent="0.3">
      <c r="A101" s="47"/>
      <c r="B101" s="47"/>
      <c r="C101" s="47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</row>
    <row r="102" spans="1:23" ht="14.25" customHeight="1" x14ac:dyDescent="0.3">
      <c r="A102" s="47"/>
      <c r="B102" s="47"/>
      <c r="C102" s="47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</row>
    <row r="103" spans="1:23" ht="14.25" customHeight="1" x14ac:dyDescent="0.3">
      <c r="A103" s="47"/>
      <c r="B103" s="47"/>
      <c r="C103" s="47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</row>
    <row r="104" spans="1:23" ht="14.25" customHeight="1" x14ac:dyDescent="0.3">
      <c r="A104" s="47"/>
      <c r="B104" s="47"/>
      <c r="C104" s="47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</row>
    <row r="105" spans="1:23" ht="14.25" customHeight="1" x14ac:dyDescent="0.3">
      <c r="A105" s="47"/>
      <c r="B105" s="47"/>
      <c r="C105" s="47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</row>
    <row r="106" spans="1:23" ht="14.25" customHeight="1" x14ac:dyDescent="0.3">
      <c r="A106" s="47"/>
      <c r="B106" s="47"/>
      <c r="C106" s="47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</row>
    <row r="107" spans="1:23" ht="14.25" customHeight="1" x14ac:dyDescent="0.3">
      <c r="A107" s="47"/>
      <c r="B107" s="47"/>
      <c r="C107" s="47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</row>
    <row r="108" spans="1:23" ht="14.25" customHeight="1" x14ac:dyDescent="0.3">
      <c r="A108" s="47"/>
      <c r="B108" s="47"/>
      <c r="C108" s="47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</row>
    <row r="109" spans="1:23" ht="14.25" customHeight="1" x14ac:dyDescent="0.3">
      <c r="A109" s="47"/>
      <c r="B109" s="47"/>
      <c r="C109" s="47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</row>
    <row r="110" spans="1:23" ht="14.25" customHeight="1" x14ac:dyDescent="0.3">
      <c r="A110" s="47"/>
      <c r="B110" s="47"/>
      <c r="C110" s="47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</row>
    <row r="111" spans="1:23" ht="14.25" customHeight="1" x14ac:dyDescent="0.3">
      <c r="A111" s="47"/>
      <c r="B111" s="47"/>
      <c r="C111" s="47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</row>
    <row r="112" spans="1:23" ht="14.25" customHeight="1" x14ac:dyDescent="0.3">
      <c r="A112" s="47"/>
      <c r="B112" s="47"/>
      <c r="C112" s="47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</row>
    <row r="113" spans="1:23" ht="14.25" customHeight="1" x14ac:dyDescent="0.3">
      <c r="A113" s="47"/>
      <c r="B113" s="47"/>
      <c r="C113" s="47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</row>
    <row r="114" spans="1:23" ht="14.25" customHeight="1" x14ac:dyDescent="0.3">
      <c r="A114" s="47"/>
      <c r="B114" s="47"/>
      <c r="C114" s="47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</row>
    <row r="115" spans="1:23" ht="14.25" customHeight="1" x14ac:dyDescent="0.3">
      <c r="A115" s="47"/>
      <c r="B115" s="47"/>
      <c r="C115" s="47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</row>
    <row r="116" spans="1:23" ht="14.25" customHeight="1" x14ac:dyDescent="0.3">
      <c r="A116" s="47"/>
      <c r="B116" s="47"/>
      <c r="C116" s="47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</row>
    <row r="117" spans="1:23" ht="14.25" customHeight="1" x14ac:dyDescent="0.3">
      <c r="A117" s="47"/>
      <c r="B117" s="47"/>
      <c r="C117" s="47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</row>
    <row r="118" spans="1:23" ht="14.25" customHeight="1" x14ac:dyDescent="0.3">
      <c r="A118" s="47"/>
      <c r="B118" s="47"/>
      <c r="C118" s="47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</row>
    <row r="119" spans="1:23" ht="14.25" customHeight="1" x14ac:dyDescent="0.3">
      <c r="A119" s="47"/>
      <c r="B119" s="47"/>
      <c r="C119" s="47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</row>
    <row r="120" spans="1:23" ht="14.25" customHeight="1" x14ac:dyDescent="0.3">
      <c r="A120" s="47"/>
      <c r="B120" s="47"/>
      <c r="C120" s="47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</row>
    <row r="121" spans="1:23" ht="14.25" customHeight="1" x14ac:dyDescent="0.3">
      <c r="A121" s="47"/>
      <c r="B121" s="47"/>
      <c r="C121" s="47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</row>
    <row r="122" spans="1:23" ht="14.25" customHeight="1" x14ac:dyDescent="0.3">
      <c r="A122" s="47"/>
      <c r="B122" s="47"/>
      <c r="C122" s="47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</row>
    <row r="123" spans="1:23" ht="14.25" customHeight="1" x14ac:dyDescent="0.3">
      <c r="A123" s="47"/>
      <c r="B123" s="47"/>
      <c r="C123" s="47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</row>
    <row r="124" spans="1:23" ht="14.25" customHeight="1" x14ac:dyDescent="0.3">
      <c r="A124" s="47"/>
      <c r="B124" s="47"/>
      <c r="C124" s="47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</row>
    <row r="125" spans="1:23" ht="14.25" customHeight="1" x14ac:dyDescent="0.3">
      <c r="A125" s="47"/>
      <c r="B125" s="47"/>
      <c r="C125" s="47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</row>
    <row r="126" spans="1:23" ht="14.25" customHeight="1" x14ac:dyDescent="0.3">
      <c r="A126" s="47"/>
      <c r="B126" s="47"/>
      <c r="C126" s="47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</row>
    <row r="127" spans="1:23" ht="14.25" customHeight="1" x14ac:dyDescent="0.3">
      <c r="A127" s="47"/>
      <c r="B127" s="47"/>
      <c r="C127" s="47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</row>
    <row r="128" spans="1:23" ht="14.25" customHeight="1" x14ac:dyDescent="0.3">
      <c r="A128" s="47"/>
      <c r="B128" s="47"/>
      <c r="C128" s="47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</row>
    <row r="129" spans="1:23" ht="14.25" customHeight="1" x14ac:dyDescent="0.3">
      <c r="A129" s="47"/>
      <c r="B129" s="47"/>
      <c r="C129" s="47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</row>
    <row r="130" spans="1:23" ht="14.25" customHeight="1" x14ac:dyDescent="0.3">
      <c r="A130" s="47"/>
      <c r="B130" s="47"/>
      <c r="C130" s="47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</row>
    <row r="131" spans="1:23" ht="14.25" customHeight="1" x14ac:dyDescent="0.3">
      <c r="A131" s="47"/>
      <c r="B131" s="47"/>
      <c r="C131" s="47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</row>
    <row r="132" spans="1:23" ht="14.25" customHeight="1" x14ac:dyDescent="0.3">
      <c r="A132" s="47"/>
      <c r="B132" s="47"/>
      <c r="C132" s="47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</row>
    <row r="133" spans="1:23" ht="14.25" customHeight="1" x14ac:dyDescent="0.3">
      <c r="A133" s="47"/>
      <c r="B133" s="47"/>
      <c r="C133" s="47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</row>
    <row r="134" spans="1:23" ht="14.25" customHeight="1" x14ac:dyDescent="0.3">
      <c r="A134" s="47"/>
      <c r="B134" s="47"/>
      <c r="C134" s="47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</row>
    <row r="135" spans="1:23" ht="14.25" customHeight="1" x14ac:dyDescent="0.3">
      <c r="A135" s="47"/>
      <c r="B135" s="47"/>
      <c r="C135" s="47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</row>
    <row r="136" spans="1:23" ht="14.25" customHeight="1" x14ac:dyDescent="0.3">
      <c r="A136" s="47"/>
      <c r="B136" s="47"/>
      <c r="C136" s="47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</row>
    <row r="137" spans="1:23" ht="14.25" customHeight="1" x14ac:dyDescent="0.3">
      <c r="A137" s="47"/>
      <c r="B137" s="47"/>
      <c r="C137" s="47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</row>
    <row r="138" spans="1:23" ht="14.25" customHeight="1" x14ac:dyDescent="0.3">
      <c r="A138" s="47"/>
      <c r="B138" s="47"/>
      <c r="C138" s="47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</row>
    <row r="139" spans="1:23" ht="14.25" customHeight="1" x14ac:dyDescent="0.3">
      <c r="A139" s="47"/>
      <c r="B139" s="47"/>
      <c r="C139" s="47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</row>
    <row r="140" spans="1:23" ht="14.25" customHeight="1" x14ac:dyDescent="0.3">
      <c r="A140" s="47"/>
      <c r="B140" s="47"/>
      <c r="C140" s="47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</row>
    <row r="141" spans="1:23" ht="14.25" customHeight="1" x14ac:dyDescent="0.3">
      <c r="A141" s="47"/>
      <c r="B141" s="47"/>
      <c r="C141" s="47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</row>
    <row r="142" spans="1:23" ht="14.25" customHeight="1" x14ac:dyDescent="0.3">
      <c r="A142" s="47"/>
      <c r="B142" s="47"/>
      <c r="C142" s="47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</row>
    <row r="143" spans="1:23" ht="14.25" customHeight="1" x14ac:dyDescent="0.3">
      <c r="A143" s="47"/>
      <c r="B143" s="47"/>
      <c r="C143" s="47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</row>
    <row r="144" spans="1:23" ht="14.25" customHeight="1" x14ac:dyDescent="0.3">
      <c r="A144" s="47"/>
      <c r="B144" s="47"/>
      <c r="C144" s="47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</row>
    <row r="145" spans="1:23" ht="14.25" customHeight="1" x14ac:dyDescent="0.3">
      <c r="A145" s="47"/>
      <c r="B145" s="47"/>
      <c r="C145" s="47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</row>
    <row r="146" spans="1:23" ht="14.25" customHeight="1" x14ac:dyDescent="0.3">
      <c r="A146" s="47"/>
      <c r="B146" s="47"/>
      <c r="C146" s="47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</row>
    <row r="147" spans="1:23" ht="14.25" customHeight="1" x14ac:dyDescent="0.3">
      <c r="A147" s="47"/>
      <c r="B147" s="47"/>
      <c r="C147" s="47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</row>
    <row r="148" spans="1:23" ht="14.25" customHeight="1" x14ac:dyDescent="0.3">
      <c r="A148" s="47"/>
      <c r="B148" s="47"/>
      <c r="C148" s="47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</row>
    <row r="149" spans="1:23" ht="14.25" customHeight="1" x14ac:dyDescent="0.3">
      <c r="A149" s="47"/>
      <c r="B149" s="47"/>
      <c r="C149" s="47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</row>
    <row r="150" spans="1:23" ht="14.25" customHeight="1" x14ac:dyDescent="0.3">
      <c r="A150" s="47"/>
      <c r="B150" s="47"/>
      <c r="C150" s="47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</row>
    <row r="151" spans="1:23" ht="14.25" customHeight="1" x14ac:dyDescent="0.3">
      <c r="A151" s="47"/>
      <c r="B151" s="47"/>
      <c r="C151" s="47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</row>
    <row r="152" spans="1:23" ht="14.25" customHeight="1" x14ac:dyDescent="0.3">
      <c r="A152" s="47"/>
      <c r="B152" s="47"/>
      <c r="C152" s="47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</row>
    <row r="153" spans="1:23" ht="14.25" customHeight="1" x14ac:dyDescent="0.3">
      <c r="A153" s="47"/>
      <c r="B153" s="47"/>
      <c r="C153" s="47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</row>
    <row r="154" spans="1:23" ht="14.25" customHeight="1" x14ac:dyDescent="0.3">
      <c r="A154" s="47"/>
      <c r="B154" s="47"/>
      <c r="C154" s="47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</row>
    <row r="155" spans="1:23" ht="14.25" customHeight="1" x14ac:dyDescent="0.3">
      <c r="A155" s="47"/>
      <c r="B155" s="47"/>
      <c r="C155" s="47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</row>
    <row r="156" spans="1:23" ht="14.25" customHeight="1" x14ac:dyDescent="0.3">
      <c r="A156" s="47"/>
      <c r="B156" s="47"/>
      <c r="C156" s="47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</row>
    <row r="157" spans="1:23" ht="14.25" customHeight="1" x14ac:dyDescent="0.3">
      <c r="A157" s="47"/>
      <c r="B157" s="47"/>
      <c r="C157" s="47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</row>
    <row r="158" spans="1:23" ht="14.25" customHeight="1" x14ac:dyDescent="0.3">
      <c r="A158" s="47"/>
      <c r="B158" s="47"/>
      <c r="C158" s="47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</row>
    <row r="159" spans="1:23" ht="14.25" customHeight="1" x14ac:dyDescent="0.3">
      <c r="A159" s="47"/>
      <c r="B159" s="47"/>
      <c r="C159" s="47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</row>
    <row r="160" spans="1:23" ht="14.25" customHeight="1" x14ac:dyDescent="0.3">
      <c r="A160" s="47"/>
      <c r="B160" s="47"/>
      <c r="C160" s="47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</row>
    <row r="161" spans="1:23" ht="14.25" customHeight="1" x14ac:dyDescent="0.3">
      <c r="A161" s="47"/>
      <c r="B161" s="47"/>
      <c r="C161" s="47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</row>
    <row r="162" spans="1:23" ht="14.25" customHeight="1" x14ac:dyDescent="0.3">
      <c r="A162" s="47"/>
      <c r="B162" s="47"/>
      <c r="C162" s="47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</row>
    <row r="163" spans="1:23" ht="14.25" customHeight="1" x14ac:dyDescent="0.3">
      <c r="A163" s="47"/>
      <c r="B163" s="47"/>
      <c r="C163" s="47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</row>
    <row r="164" spans="1:23" ht="14.25" customHeight="1" x14ac:dyDescent="0.3">
      <c r="A164" s="47"/>
      <c r="B164" s="47"/>
      <c r="C164" s="47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</row>
    <row r="165" spans="1:23" ht="14.25" customHeight="1" x14ac:dyDescent="0.3">
      <c r="A165" s="47"/>
      <c r="B165" s="47"/>
      <c r="C165" s="47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</row>
    <row r="166" spans="1:23" ht="14.25" customHeight="1" x14ac:dyDescent="0.3">
      <c r="A166" s="47"/>
      <c r="B166" s="47"/>
      <c r="C166" s="47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</row>
    <row r="167" spans="1:23" ht="14.25" customHeight="1" x14ac:dyDescent="0.3">
      <c r="A167" s="47"/>
      <c r="B167" s="47"/>
      <c r="C167" s="47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</row>
    <row r="168" spans="1:23" ht="14.25" customHeight="1" x14ac:dyDescent="0.3">
      <c r="A168" s="47"/>
      <c r="B168" s="47"/>
      <c r="C168" s="47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</row>
    <row r="169" spans="1:23" ht="14.25" customHeight="1" x14ac:dyDescent="0.3">
      <c r="A169" s="47"/>
      <c r="B169" s="47"/>
      <c r="C169" s="47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</row>
    <row r="170" spans="1:23" ht="14.25" customHeight="1" x14ac:dyDescent="0.3">
      <c r="A170" s="47"/>
      <c r="B170" s="47"/>
      <c r="C170" s="47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</row>
    <row r="171" spans="1:23" ht="14.25" customHeight="1" x14ac:dyDescent="0.3">
      <c r="A171" s="47"/>
      <c r="B171" s="47"/>
      <c r="C171" s="47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</row>
    <row r="172" spans="1:23" ht="14.25" customHeight="1" x14ac:dyDescent="0.3">
      <c r="A172" s="47"/>
      <c r="B172" s="47"/>
      <c r="C172" s="47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</row>
    <row r="173" spans="1:23" ht="14.25" customHeight="1" x14ac:dyDescent="0.3">
      <c r="A173" s="47"/>
      <c r="B173" s="47"/>
      <c r="C173" s="47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</row>
    <row r="174" spans="1:23" ht="14.25" customHeight="1" x14ac:dyDescent="0.3">
      <c r="A174" s="47"/>
      <c r="B174" s="47"/>
      <c r="C174" s="47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</row>
    <row r="175" spans="1:23" ht="14.25" customHeight="1" x14ac:dyDescent="0.3">
      <c r="A175" s="47"/>
      <c r="B175" s="47"/>
      <c r="C175" s="47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</row>
    <row r="176" spans="1:23" ht="14.25" customHeight="1" x14ac:dyDescent="0.3">
      <c r="A176" s="47"/>
      <c r="B176" s="47"/>
      <c r="C176" s="47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</row>
    <row r="177" spans="1:23" ht="14.25" customHeight="1" x14ac:dyDescent="0.3">
      <c r="A177" s="47"/>
      <c r="B177" s="47"/>
      <c r="C177" s="47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</row>
    <row r="178" spans="1:23" ht="14.25" customHeight="1" x14ac:dyDescent="0.3">
      <c r="A178" s="47"/>
      <c r="B178" s="47"/>
      <c r="C178" s="47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</row>
    <row r="179" spans="1:23" ht="14.25" customHeight="1" x14ac:dyDescent="0.3">
      <c r="A179" s="47"/>
      <c r="B179" s="47"/>
      <c r="C179" s="47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</row>
    <row r="180" spans="1:23" ht="14.25" customHeight="1" x14ac:dyDescent="0.3">
      <c r="A180" s="47"/>
      <c r="B180" s="47"/>
      <c r="C180" s="47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</row>
    <row r="181" spans="1:23" ht="14.25" customHeight="1" x14ac:dyDescent="0.3">
      <c r="A181" s="47"/>
      <c r="B181" s="47"/>
      <c r="C181" s="47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</row>
    <row r="182" spans="1:23" ht="14.25" customHeight="1" x14ac:dyDescent="0.3">
      <c r="A182" s="47"/>
      <c r="B182" s="47"/>
      <c r="C182" s="47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</row>
    <row r="183" spans="1:23" ht="14.25" customHeight="1" x14ac:dyDescent="0.3">
      <c r="A183" s="47"/>
      <c r="B183" s="47"/>
      <c r="C183" s="47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</row>
    <row r="184" spans="1:23" ht="14.25" customHeight="1" x14ac:dyDescent="0.3">
      <c r="A184" s="47"/>
      <c r="B184" s="47"/>
      <c r="C184" s="47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</row>
    <row r="185" spans="1:23" ht="14.25" customHeight="1" x14ac:dyDescent="0.3">
      <c r="A185" s="47"/>
      <c r="B185" s="47"/>
      <c r="C185" s="47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</row>
    <row r="186" spans="1:23" ht="14.25" customHeight="1" x14ac:dyDescent="0.3">
      <c r="A186" s="47"/>
      <c r="B186" s="47"/>
      <c r="C186" s="47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</row>
    <row r="187" spans="1:23" ht="14.25" customHeight="1" x14ac:dyDescent="0.3">
      <c r="A187" s="47"/>
      <c r="B187" s="47"/>
      <c r="C187" s="47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</row>
    <row r="188" spans="1:23" ht="14.25" customHeight="1" x14ac:dyDescent="0.3">
      <c r="A188" s="47"/>
      <c r="B188" s="47"/>
      <c r="C188" s="47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</row>
    <row r="189" spans="1:23" ht="14.25" customHeight="1" x14ac:dyDescent="0.3">
      <c r="A189" s="47"/>
      <c r="B189" s="47"/>
      <c r="C189" s="47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</row>
    <row r="190" spans="1:23" ht="14.25" customHeight="1" x14ac:dyDescent="0.3">
      <c r="A190" s="47"/>
      <c r="B190" s="47"/>
      <c r="C190" s="47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</row>
    <row r="191" spans="1:23" ht="14.25" customHeight="1" x14ac:dyDescent="0.3">
      <c r="A191" s="47"/>
      <c r="B191" s="47"/>
      <c r="C191" s="47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</row>
    <row r="192" spans="1:23" ht="14.25" customHeight="1" x14ac:dyDescent="0.3">
      <c r="A192" s="47"/>
      <c r="B192" s="47"/>
      <c r="C192" s="47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</row>
    <row r="193" spans="1:23" ht="14.25" customHeight="1" x14ac:dyDescent="0.3">
      <c r="A193" s="47"/>
      <c r="B193" s="47"/>
      <c r="C193" s="47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</row>
    <row r="194" spans="1:23" ht="14.25" customHeight="1" x14ac:dyDescent="0.3">
      <c r="A194" s="47"/>
      <c r="B194" s="47"/>
      <c r="C194" s="47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</row>
    <row r="195" spans="1:23" ht="14.25" customHeight="1" x14ac:dyDescent="0.3">
      <c r="A195" s="47"/>
      <c r="B195" s="47"/>
      <c r="C195" s="47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</row>
    <row r="196" spans="1:23" ht="14.25" customHeight="1" x14ac:dyDescent="0.3">
      <c r="A196" s="47"/>
      <c r="B196" s="47"/>
      <c r="C196" s="47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</row>
    <row r="197" spans="1:23" ht="14.25" customHeight="1" x14ac:dyDescent="0.3">
      <c r="A197" s="47"/>
      <c r="B197" s="47"/>
      <c r="C197" s="47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</row>
    <row r="198" spans="1:23" ht="14.25" customHeight="1" x14ac:dyDescent="0.3">
      <c r="A198" s="47"/>
      <c r="B198" s="47"/>
      <c r="C198" s="47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</row>
    <row r="199" spans="1:23" ht="14.25" customHeight="1" x14ac:dyDescent="0.3">
      <c r="A199" s="47"/>
      <c r="B199" s="47"/>
      <c r="C199" s="47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</row>
    <row r="200" spans="1:23" ht="14.25" customHeight="1" x14ac:dyDescent="0.3">
      <c r="A200" s="47"/>
      <c r="B200" s="47"/>
      <c r="C200" s="47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</row>
    <row r="201" spans="1:23" ht="14.25" customHeight="1" x14ac:dyDescent="0.3">
      <c r="A201" s="47"/>
      <c r="B201" s="47"/>
      <c r="C201" s="47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</row>
    <row r="202" spans="1:23" ht="14.25" customHeight="1" x14ac:dyDescent="0.3">
      <c r="A202" s="47"/>
      <c r="B202" s="47"/>
      <c r="C202" s="47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</row>
    <row r="203" spans="1:23" ht="14.25" customHeight="1" x14ac:dyDescent="0.3">
      <c r="A203" s="47"/>
      <c r="B203" s="47"/>
      <c r="C203" s="47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</row>
    <row r="204" spans="1:23" ht="14.25" customHeight="1" x14ac:dyDescent="0.3">
      <c r="A204" s="47"/>
      <c r="B204" s="47"/>
      <c r="C204" s="47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</row>
    <row r="205" spans="1:23" ht="14.25" customHeight="1" x14ac:dyDescent="0.3">
      <c r="A205" s="47"/>
      <c r="B205" s="47"/>
      <c r="C205" s="47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</row>
    <row r="206" spans="1:23" ht="14.25" customHeight="1" x14ac:dyDescent="0.3">
      <c r="A206" s="47"/>
      <c r="B206" s="47"/>
      <c r="C206" s="47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</row>
    <row r="207" spans="1:23" ht="14.25" customHeight="1" x14ac:dyDescent="0.3">
      <c r="A207" s="47"/>
      <c r="B207" s="47"/>
      <c r="C207" s="47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</row>
    <row r="208" spans="1:23" ht="14.25" customHeight="1" x14ac:dyDescent="0.3">
      <c r="A208" s="47"/>
      <c r="B208" s="47"/>
      <c r="C208" s="47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</row>
    <row r="209" spans="1:23" ht="14.25" customHeight="1" x14ac:dyDescent="0.3">
      <c r="A209" s="47"/>
      <c r="B209" s="47"/>
      <c r="C209" s="47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</row>
    <row r="210" spans="1:23" ht="14.25" customHeight="1" x14ac:dyDescent="0.3">
      <c r="A210" s="47"/>
      <c r="B210" s="47"/>
      <c r="C210" s="47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</row>
    <row r="211" spans="1:23" ht="14.25" customHeight="1" x14ac:dyDescent="0.3">
      <c r="A211" s="47"/>
      <c r="B211" s="47"/>
      <c r="C211" s="47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</row>
    <row r="212" spans="1:23" ht="14.25" customHeight="1" x14ac:dyDescent="0.3">
      <c r="A212" s="47"/>
      <c r="B212" s="47"/>
      <c r="C212" s="47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</row>
    <row r="213" spans="1:23" ht="14.25" customHeight="1" x14ac:dyDescent="0.3">
      <c r="A213" s="47"/>
      <c r="B213" s="47"/>
      <c r="C213" s="47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</row>
    <row r="214" spans="1:23" ht="14.25" customHeight="1" x14ac:dyDescent="0.3">
      <c r="A214" s="47"/>
      <c r="B214" s="47"/>
      <c r="C214" s="47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</row>
    <row r="215" spans="1:23" ht="14.25" customHeight="1" x14ac:dyDescent="0.3">
      <c r="A215" s="47"/>
      <c r="B215" s="47"/>
      <c r="C215" s="47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</row>
    <row r="216" spans="1:23" ht="14.25" customHeight="1" x14ac:dyDescent="0.3">
      <c r="A216" s="47"/>
      <c r="B216" s="47"/>
      <c r="C216" s="47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</row>
    <row r="217" spans="1:23" ht="14.25" customHeight="1" x14ac:dyDescent="0.3">
      <c r="A217" s="47"/>
      <c r="B217" s="47"/>
      <c r="C217" s="47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</row>
    <row r="218" spans="1:23" ht="14.25" customHeight="1" x14ac:dyDescent="0.3">
      <c r="A218" s="47"/>
      <c r="B218" s="47"/>
      <c r="C218" s="47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</row>
    <row r="219" spans="1:23" ht="14.25" customHeight="1" x14ac:dyDescent="0.3">
      <c r="A219" s="47"/>
      <c r="B219" s="47"/>
      <c r="C219" s="47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</row>
    <row r="220" spans="1:23" ht="14.25" customHeight="1" x14ac:dyDescent="0.3">
      <c r="A220" s="47"/>
      <c r="B220" s="47"/>
      <c r="C220" s="47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</row>
    <row r="221" spans="1:23" ht="14.25" customHeight="1" x14ac:dyDescent="0.3">
      <c r="A221" s="47"/>
      <c r="B221" s="47"/>
      <c r="C221" s="47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</row>
    <row r="222" spans="1:23" ht="14.25" customHeight="1" x14ac:dyDescent="0.3">
      <c r="A222" s="47"/>
      <c r="B222" s="47"/>
      <c r="C222" s="47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</row>
    <row r="223" spans="1:23" ht="15.75" customHeight="1" x14ac:dyDescent="0.25"/>
    <row r="224" spans="1:23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paperSize="9" scale="7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3</vt:i4>
      </vt:variant>
    </vt:vector>
  </HeadingPairs>
  <TitlesOfParts>
    <vt:vector size="3" baseType="lpstr">
      <vt:lpstr>Estimated</vt:lpstr>
      <vt:lpstr>Actual</vt:lpstr>
      <vt:lpstr>Burn-down-Sprint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</dc:creator>
  <cp:lastModifiedBy>Windows User</cp:lastModifiedBy>
  <dcterms:created xsi:type="dcterms:W3CDTF">2020-09-01T04:29:00Z</dcterms:created>
  <dcterms:modified xsi:type="dcterms:W3CDTF">2021-12-17T11:09:21Z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9a533b67-9ef9-4976-9df1-0871a10e28d5</vt:lpwstr>
  </property>
  <property fmtid="{D5CDD505-2E9C-101B-9397-08002B2CF9AE}" pid="3" name="ICV">
    <vt:lpwstr>233C36DDE36043F38EE31936415367F9</vt:lpwstr>
  </property>
  <property fmtid="{D5CDD505-2E9C-101B-9397-08002B2CF9AE}" pid="4" name="KSOProductBuildVer">
    <vt:lpwstr>1033-11.2.0.10382</vt:lpwstr>
  </property>
</Properties>
</file>